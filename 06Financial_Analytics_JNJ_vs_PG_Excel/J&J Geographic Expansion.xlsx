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MBA/2 Winter_2023/MGT211/Final_Project/Excel/"/>
    </mc:Choice>
  </mc:AlternateContent>
  <xr:revisionPtr revIDLastSave="0" documentId="13_ncr:1_{806F2C83-1A1C-8A45-ABDD-62541EFF88FA}" xr6:coauthVersionLast="47" xr6:coauthVersionMax="47" xr10:uidLastSave="{00000000-0000-0000-0000-000000000000}"/>
  <bookViews>
    <workbookView xWindow="0" yWindow="0" windowWidth="28800" windowHeight="18000" xr2:uid="{0F4A60D8-608E-A846-B87B-270CCB5C23E3}"/>
  </bookViews>
  <sheets>
    <sheet name="J&amp;J" sheetId="1" r:id="rId1"/>
    <sheet name="P&amp;G" sheetId="3" r:id="rId2"/>
    <sheet name="Sheet2" sheetId="2" r:id="rId3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3" i="1"/>
  <c r="L5" i="3"/>
  <c r="L4" i="3"/>
  <c r="L3" i="3"/>
  <c r="M4" i="1"/>
  <c r="M5" i="1"/>
  <c r="M6" i="1"/>
  <c r="M7" i="1"/>
  <c r="M8" i="1"/>
  <c r="M3" i="1"/>
  <c r="K5" i="3"/>
  <c r="J5" i="3"/>
  <c r="I5" i="3"/>
  <c r="P3" i="1"/>
  <c r="P2" i="1"/>
  <c r="P4" i="1" s="1"/>
  <c r="D3" i="2"/>
  <c r="D2" i="2"/>
  <c r="D1" i="2"/>
</calcChain>
</file>

<file path=xl/sharedStrings.xml><?xml version="1.0" encoding="utf-8"?>
<sst xmlns="http://schemas.openxmlformats.org/spreadsheetml/2006/main" count="1072" uniqueCount="631">
  <si>
    <t>Geographic Segment Sales</t>
  </si>
  <si>
    <t>Segment</t>
  </si>
  <si>
    <t>consumer health</t>
  </si>
  <si>
    <t>pharmaceutical</t>
  </si>
  <si>
    <t>medical devices</t>
  </si>
  <si>
    <t>Geographic</t>
  </si>
  <si>
    <t>2021 sale</t>
  </si>
  <si>
    <t>2020 sale</t>
  </si>
  <si>
    <t>2019 sale</t>
  </si>
  <si>
    <t>U.S.</t>
  </si>
  <si>
    <t>International</t>
  </si>
  <si>
    <t>Worldwide</t>
  </si>
  <si>
    <t>Johnson &amp; Johnson</t>
  </si>
  <si>
    <t>Europe</t>
  </si>
  <si>
    <t>Western Hemisphere excluding U.S.</t>
  </si>
  <si>
    <t>Asia-Pacific, Africa</t>
  </si>
  <si>
    <t xml:space="preserve">Acclarent, Inc. </t>
  </si>
  <si>
    <t xml:space="preserve">Delaware </t>
  </si>
  <si>
    <t xml:space="preserve">Actelion Pharmaceuticals US, Inc. </t>
  </si>
  <si>
    <t xml:space="preserve">Akros Medical, Inc. </t>
  </si>
  <si>
    <t xml:space="preserve">Albany Street LLC </t>
  </si>
  <si>
    <t xml:space="preserve">New Jersey </t>
  </si>
  <si>
    <t xml:space="preserve">ALZA Corporation </t>
  </si>
  <si>
    <t xml:space="preserve">Alza Land Management, Inc. </t>
  </si>
  <si>
    <t xml:space="preserve">AMO Development, LLC </t>
  </si>
  <si>
    <t xml:space="preserve">AMO Manufacturing USA, LLC </t>
  </si>
  <si>
    <t xml:space="preserve">AMO Nominee Holdings, LLC </t>
  </si>
  <si>
    <t xml:space="preserve">AMO Sales and Service, Inc. </t>
  </si>
  <si>
    <t xml:space="preserve">AMO Spain Holdings, LLC </t>
  </si>
  <si>
    <t xml:space="preserve">AMO U.K. Holdings, LLC </t>
  </si>
  <si>
    <t xml:space="preserve">Anakuria Therapeutics, Inc. </t>
  </si>
  <si>
    <t xml:space="preserve">Animas Diabetes Care, LLC </t>
  </si>
  <si>
    <t xml:space="preserve">Animas LLC </t>
  </si>
  <si>
    <t xml:space="preserve">Animas Technologies LLC </t>
  </si>
  <si>
    <t xml:space="preserve">AorTx, Inc. </t>
  </si>
  <si>
    <t xml:space="preserve">Aragon Pharmaceuticals, Inc. </t>
  </si>
  <si>
    <t xml:space="preserve">Asia Pacific Holdings, LLC </t>
  </si>
  <si>
    <t xml:space="preserve">Atrionix, Inc. </t>
  </si>
  <si>
    <t xml:space="preserve">California </t>
  </si>
  <si>
    <t xml:space="preserve">AUB Holdings LLC </t>
  </si>
  <si>
    <t xml:space="preserve">Auris Health, Inc. </t>
  </si>
  <si>
    <t xml:space="preserve">BeneVir BioPharm, Inc. </t>
  </si>
  <si>
    <t xml:space="preserve">BioMedical Enterprises, Inc. </t>
  </si>
  <si>
    <t xml:space="preserve">Texas </t>
  </si>
  <si>
    <t xml:space="preserve">Biosense Webster, Inc. </t>
  </si>
  <si>
    <t xml:space="preserve">Calibra Medical LLC </t>
  </si>
  <si>
    <t xml:space="preserve">Centocor Biologics, LLC </t>
  </si>
  <si>
    <t xml:space="preserve">Pennsylvania </t>
  </si>
  <si>
    <t xml:space="preserve">Centocor Research &amp; Development, Inc. </t>
  </si>
  <si>
    <t xml:space="preserve">Cerenovus, Inc. </t>
  </si>
  <si>
    <t xml:space="preserve">Ci:Labo USA, Inc. </t>
  </si>
  <si>
    <t xml:space="preserve">New York </t>
  </si>
  <si>
    <t xml:space="preserve">Coherex Medical, Inc. </t>
  </si>
  <si>
    <t xml:space="preserve">Company Store.com, Inc. </t>
  </si>
  <si>
    <t xml:space="preserve">Cordis International Corporation </t>
  </si>
  <si>
    <t xml:space="preserve">CoTherix Inc. </t>
  </si>
  <si>
    <t xml:space="preserve">CSATS, Inc. </t>
  </si>
  <si>
    <t xml:space="preserve">Washington </t>
  </si>
  <si>
    <t xml:space="preserve">DePuy Mitek, LLC </t>
  </si>
  <si>
    <t xml:space="preserve">Massachusetts </t>
  </si>
  <si>
    <t xml:space="preserve">DePuy Orthopaedics, Inc. </t>
  </si>
  <si>
    <t xml:space="preserve">Indiana </t>
  </si>
  <si>
    <t xml:space="preserve">DePuy Products, Inc. </t>
  </si>
  <si>
    <t xml:space="preserve">DePuy Spine, LLC </t>
  </si>
  <si>
    <t xml:space="preserve">Ohio </t>
  </si>
  <si>
    <t xml:space="preserve">DePuy Synthes Institute, LLC </t>
  </si>
  <si>
    <t xml:space="preserve">DePuy Synthes Products, Inc. </t>
  </si>
  <si>
    <t xml:space="preserve">DePuy Synthes Sales, Inc. </t>
  </si>
  <si>
    <t xml:space="preserve">DePuy Synthes, Inc. </t>
  </si>
  <si>
    <t xml:space="preserve">Dutch Holding LLC </t>
  </si>
  <si>
    <t xml:space="preserve">ECL7, LLC </t>
  </si>
  <si>
    <t xml:space="preserve">Ethicon Endo-Surgery, Inc. </t>
  </si>
  <si>
    <t xml:space="preserve">Ethicon Endo-Surgery, LLC </t>
  </si>
  <si>
    <t>Del</t>
  </si>
  <si>
    <t xml:space="preserve">Ethicon LLC </t>
  </si>
  <si>
    <t xml:space="preserve">Ethicon US, LLC </t>
  </si>
  <si>
    <t xml:space="preserve">Ethicon, Inc. </t>
  </si>
  <si>
    <t xml:space="preserve">Hansen Medical International, Inc. </t>
  </si>
  <si>
    <t xml:space="preserve">Hansen Medical, Inc. </t>
  </si>
  <si>
    <t xml:space="preserve">Hickory Merger Sub, Inc. </t>
  </si>
  <si>
    <t xml:space="preserve">I.D. Acquisition Corp. </t>
  </si>
  <si>
    <t xml:space="preserve">Innovative Surgical Solutions, LLC </t>
  </si>
  <si>
    <t xml:space="preserve">Michigan </t>
  </si>
  <si>
    <t xml:space="preserve">Janssen BioPharma, LLC </t>
  </si>
  <si>
    <t xml:space="preserve">Janssen Biotech, Inc. </t>
  </si>
  <si>
    <t xml:space="preserve">Janssen Diagnostics, LLC </t>
  </si>
  <si>
    <t xml:space="preserve">Janssen Global Services, LLC </t>
  </si>
  <si>
    <t xml:space="preserve">Janssen Oncology, Inc. </t>
  </si>
  <si>
    <t xml:space="preserve">Janssen Ortho LLC </t>
  </si>
  <si>
    <t xml:space="preserve">Janssen Pharmaceuticals, Inc. </t>
  </si>
  <si>
    <t xml:space="preserve">Janssen Products, LP </t>
  </si>
  <si>
    <t xml:space="preserve">Janssen Research &amp; Development, LLC </t>
  </si>
  <si>
    <t xml:space="preserve">Janssen Scientific Affairs, LLC </t>
  </si>
  <si>
    <t xml:space="preserve">Janssen Supply Group, LLC </t>
  </si>
  <si>
    <t xml:space="preserve">Janssen-Cilag Manufacturing, LLC </t>
  </si>
  <si>
    <t xml:space="preserve">Jevco Holding, Inc. </t>
  </si>
  <si>
    <t xml:space="preserve">JJHC, LLC </t>
  </si>
  <si>
    <t xml:space="preserve">JNJ International Investment LLC </t>
  </si>
  <si>
    <t xml:space="preserve">Johnson &amp; Johnson </t>
  </si>
  <si>
    <t xml:space="preserve">Johnson &amp; Johnson (Middle East) Inc. </t>
  </si>
  <si>
    <t xml:space="preserve">Johnson &amp; Johnson Consumer Inc. </t>
  </si>
  <si>
    <t xml:space="preserve">Johnson &amp; Johnson Enterprise Innovation Inc. </t>
  </si>
  <si>
    <t xml:space="preserve">Johnson &amp; Johnson Finance Corporation </t>
  </si>
  <si>
    <t xml:space="preserve">Johnson &amp; Johnson Gateway, LLC </t>
  </si>
  <si>
    <t xml:space="preserve">Johnson &amp; Johnson Health and Wellness Solutions, Inc. </t>
  </si>
  <si>
    <t xml:space="preserve">Johnson &amp; Johnson Health Care Systems Inc. </t>
  </si>
  <si>
    <t xml:space="preserve">Johnson &amp; Johnson Innovation - JJDC, Inc. </t>
  </si>
  <si>
    <t xml:space="preserve">Johnson &amp; Johnson Innovation LLC </t>
  </si>
  <si>
    <t xml:space="preserve">Johnson &amp; Johnson International </t>
  </si>
  <si>
    <t xml:space="preserve">Johnson &amp; Johnson Medical Devices &amp; Diagnostics Group - Latin America, L.L.C. </t>
  </si>
  <si>
    <t xml:space="preserve">Florida </t>
  </si>
  <si>
    <t xml:space="preserve">Johnson &amp; Johnson S.E., Inc. </t>
  </si>
  <si>
    <t xml:space="preserve">Johnson &amp; Johnson Services, Inc. </t>
  </si>
  <si>
    <t xml:space="preserve">Johnson &amp; Johnson Surgical Vision, Inc. </t>
  </si>
  <si>
    <t xml:space="preserve">Johnson &amp; Johnson Urban Renewal Associates </t>
  </si>
  <si>
    <t xml:space="preserve">Johnson &amp; Johnson Vision Care, Inc. </t>
  </si>
  <si>
    <t xml:space="preserve">JOM Pharmaceutical Services, Inc. </t>
  </si>
  <si>
    <t xml:space="preserve">LTL Management LLC </t>
  </si>
  <si>
    <t xml:space="preserve">North Carolina </t>
  </si>
  <si>
    <t xml:space="preserve">McNeil Consumer Pharmaceuticals Co. </t>
  </si>
  <si>
    <t xml:space="preserve">McNeil Healthcare LLC </t>
  </si>
  <si>
    <t xml:space="preserve">McNeil LA LLC </t>
  </si>
  <si>
    <t xml:space="preserve">McNEIL MMP, LLC </t>
  </si>
  <si>
    <t xml:space="preserve">McNeil Nutritionals, LLC </t>
  </si>
  <si>
    <t xml:space="preserve">Medical Device Business Services, Inc. </t>
  </si>
  <si>
    <t xml:space="preserve">Medical Devices &amp; Diagnostics Global Services, LLC </t>
  </si>
  <si>
    <t xml:space="preserve">Medical Devices International LLC </t>
  </si>
  <si>
    <t xml:space="preserve">MegaDyne Medical Products, Inc. </t>
  </si>
  <si>
    <t xml:space="preserve">Utah </t>
  </si>
  <si>
    <t xml:space="preserve">Mentor Partnership Holding Company I, LLC </t>
  </si>
  <si>
    <t xml:space="preserve">Mentor Texas GP LLC </t>
  </si>
  <si>
    <t xml:space="preserve">Mentor Texas L.P. </t>
  </si>
  <si>
    <t xml:space="preserve">Mentor Worldwide LLC </t>
  </si>
  <si>
    <t xml:space="preserve">Micrus Endovascular LLC </t>
  </si>
  <si>
    <t xml:space="preserve">Middlesex Assurance Company Limited </t>
  </si>
  <si>
    <t xml:space="preserve">Vermont </t>
  </si>
  <si>
    <t xml:space="preserve">Momenta Pharmaceuticals, Inc. </t>
  </si>
  <si>
    <t xml:space="preserve">NeoStrata Company, Inc. </t>
  </si>
  <si>
    <t xml:space="preserve">Netherlands Holding Company </t>
  </si>
  <si>
    <t xml:space="preserve">NeuWave Medical, Inc. </t>
  </si>
  <si>
    <t xml:space="preserve">Novira Therapeutics, LLC </t>
  </si>
  <si>
    <t xml:space="preserve">NuVera Medical, Inc. </t>
  </si>
  <si>
    <t xml:space="preserve">OMJ Pharmaceuticals, Inc. </t>
  </si>
  <si>
    <t xml:space="preserve">Omrix Biopharmaceuticals, Inc. </t>
  </si>
  <si>
    <t xml:space="preserve">Ortho Biologics LLC </t>
  </si>
  <si>
    <t xml:space="preserve">Ortho Biotech Holding LLC </t>
  </si>
  <si>
    <t xml:space="preserve">Ortho-McNeil Pharmaceutical, LLC </t>
  </si>
  <si>
    <t xml:space="preserve">Patriot Pharmaceuticals, LLC </t>
  </si>
  <si>
    <t xml:space="preserve">Peninsula Pharmaceuticals, LLC </t>
  </si>
  <si>
    <t xml:space="preserve">Percivia LLC </t>
  </si>
  <si>
    <t xml:space="preserve">Princeton Laboratories, Inc. </t>
  </si>
  <si>
    <t xml:space="preserve">Pulsar Vascular, Inc. </t>
  </si>
  <si>
    <t xml:space="preserve">Regency Urban Renewal Associates </t>
  </si>
  <si>
    <t xml:space="preserve">Royalty A&amp;M LLC </t>
  </si>
  <si>
    <t xml:space="preserve">Rutan Realty LLC </t>
  </si>
  <si>
    <t xml:space="preserve">Scios LLC </t>
  </si>
  <si>
    <t xml:space="preserve">Sightbox, LLC </t>
  </si>
  <si>
    <t xml:space="preserve">SterilMed, Inc. </t>
  </si>
  <si>
    <t xml:space="preserve">Minnesota </t>
  </si>
  <si>
    <t xml:space="preserve">Synthes USA Products, LLC </t>
  </si>
  <si>
    <t xml:space="preserve">Synthes USA, LLC </t>
  </si>
  <si>
    <t xml:space="preserve">Synthes, Inc. </t>
  </si>
  <si>
    <t xml:space="preserve">TARIS Biomedical LLC </t>
  </si>
  <si>
    <t xml:space="preserve">TearScience, Inc. </t>
  </si>
  <si>
    <t xml:space="preserve">The Anspach Effort, LLC </t>
  </si>
  <si>
    <t xml:space="preserve">The Vision Care Institute, LLC </t>
  </si>
  <si>
    <t xml:space="preserve">Tibotec, LLC </t>
  </si>
  <si>
    <t xml:space="preserve">Torax Medical, Inc. </t>
  </si>
  <si>
    <t xml:space="preserve">Verb Surgical Inc. </t>
  </si>
  <si>
    <t xml:space="preserve">Vogue International LLC </t>
  </si>
  <si>
    <t xml:space="preserve">Vogue International Trading, Inc. </t>
  </si>
  <si>
    <t xml:space="preserve">WH4110 Development Company, L.L.C. </t>
  </si>
  <si>
    <t xml:space="preserve">Georgia </t>
  </si>
  <si>
    <t xml:space="preserve">Zarbee's, Inc. </t>
  </si>
  <si>
    <t>Delaware</t>
  </si>
  <si>
    <t>number of subsidiaries in U.S.</t>
  </si>
  <si>
    <t>number of subsidiaries internationally</t>
  </si>
  <si>
    <t xml:space="preserve">3Dintegrated ApS </t>
  </si>
  <si>
    <t xml:space="preserve">Denmark </t>
  </si>
  <si>
    <t xml:space="preserve">Actelion Ltd </t>
  </si>
  <si>
    <t xml:space="preserve">Switzerland </t>
  </si>
  <si>
    <t xml:space="preserve">Actelion Pharmaceuticals Ltd </t>
  </si>
  <si>
    <t xml:space="preserve">Actelion Pharmaceuticals Trading (Shanghai) Co., Ltd. </t>
  </si>
  <si>
    <t xml:space="preserve">China </t>
  </si>
  <si>
    <t xml:space="preserve">Actelion Treasury Unlimited Company </t>
  </si>
  <si>
    <t xml:space="preserve">Ireland </t>
  </si>
  <si>
    <t xml:space="preserve">AMO (Hangzhou) Co., Ltd. </t>
  </si>
  <si>
    <t xml:space="preserve">AMO (Shanghai) Medical Devices Trading Co., Ltd Beijing Branch </t>
  </si>
  <si>
    <t xml:space="preserve">AMO (Shanghai) Medical Devices Trading Co., Ltd Guangzhou Branch </t>
  </si>
  <si>
    <t xml:space="preserve">AMO (Shanghai) Medical Devices Trading Co., Ltd. </t>
  </si>
  <si>
    <t xml:space="preserve">AMO ASIA LIMITED </t>
  </si>
  <si>
    <t xml:space="preserve">Hong Kong </t>
  </si>
  <si>
    <t xml:space="preserve">AMO Asia Limited (Korea Branch) </t>
  </si>
  <si>
    <t xml:space="preserve">Korea, Republic of </t>
  </si>
  <si>
    <t xml:space="preserve">AMO Asia Limited Taiwan Branch (Hong Kong) </t>
  </si>
  <si>
    <t xml:space="preserve">Taiwan </t>
  </si>
  <si>
    <t xml:space="preserve">AMO Australia Pty Limited </t>
  </si>
  <si>
    <t xml:space="preserve">Australia </t>
  </si>
  <si>
    <t xml:space="preserve">AMO Australia Pty Limited (New Zealand Branch) </t>
  </si>
  <si>
    <t xml:space="preserve">New Zealand </t>
  </si>
  <si>
    <t xml:space="preserve">AMO Canada Company </t>
  </si>
  <si>
    <t xml:space="preserve">Canada </t>
  </si>
  <si>
    <t xml:space="preserve">AMO Denmark ApS </t>
  </si>
  <si>
    <t xml:space="preserve">AMO France </t>
  </si>
  <si>
    <t xml:space="preserve">France </t>
  </si>
  <si>
    <t xml:space="preserve">AMO Germany GmbH </t>
  </si>
  <si>
    <t xml:space="preserve">Germany </t>
  </si>
  <si>
    <t xml:space="preserve">AMO Groningen B.V. </t>
  </si>
  <si>
    <t xml:space="preserve">Netherlands </t>
  </si>
  <si>
    <t xml:space="preserve">AMO International Holdings Unlimited Company </t>
  </si>
  <si>
    <t xml:space="preserve">AMO Ireland </t>
  </si>
  <si>
    <t xml:space="preserve">Cayman Islands </t>
  </si>
  <si>
    <t xml:space="preserve">AMO Ireland, Ireland Branch </t>
  </si>
  <si>
    <t xml:space="preserve">AMO Italy SRL </t>
  </si>
  <si>
    <t xml:space="preserve">Italy </t>
  </si>
  <si>
    <t xml:space="preserve">AMO Japan K.K. </t>
  </si>
  <si>
    <t xml:space="preserve">Japan </t>
  </si>
  <si>
    <t xml:space="preserve">AMO Netherlands BV </t>
  </si>
  <si>
    <t xml:space="preserve">AMO Norway AS </t>
  </si>
  <si>
    <t xml:space="preserve">Norway </t>
  </si>
  <si>
    <t xml:space="preserve">AMO Puerto Rico Manufacturing, Inc. </t>
  </si>
  <si>
    <t xml:space="preserve">AMO Singapore Pte. Ltd. </t>
  </si>
  <si>
    <t xml:space="preserve">Singapore </t>
  </si>
  <si>
    <t xml:space="preserve">AMO Switzerland GmbH </t>
  </si>
  <si>
    <t xml:space="preserve">AMO United Kingdom, Ltd. </t>
  </si>
  <si>
    <t xml:space="preserve">United Kingdom </t>
  </si>
  <si>
    <t xml:space="preserve">AMO Uppsala AB </t>
  </si>
  <si>
    <t xml:space="preserve">Sweden </t>
  </si>
  <si>
    <t xml:space="preserve">Apsis </t>
  </si>
  <si>
    <t xml:space="preserve">Backsvalan 2 Aktiebolag </t>
  </si>
  <si>
    <t xml:space="preserve">Backsvalan 6 Handelsbolag </t>
  </si>
  <si>
    <t xml:space="preserve">Beijing Dabao Cosmetics Co., Ltd. </t>
  </si>
  <si>
    <t xml:space="preserve">Berna Rhein B.V. </t>
  </si>
  <si>
    <t xml:space="preserve">Biosense Webster (Israel) Ltd. </t>
  </si>
  <si>
    <t xml:space="preserve">Israel </t>
  </si>
  <si>
    <t xml:space="preserve">Branch of Johnson &amp; Johnson LLC (RU) in Kazakhstan </t>
  </si>
  <si>
    <t xml:space="preserve">Kazakhstan </t>
  </si>
  <si>
    <t xml:space="preserve">C Consumer Products Denmark ApS </t>
  </si>
  <si>
    <t xml:space="preserve">Campus-Foyer Apotheke GmbH </t>
  </si>
  <si>
    <t xml:space="preserve">Carlo Erba OTC S.r.l. </t>
  </si>
  <si>
    <t xml:space="preserve">ChromaGenics B.V. </t>
  </si>
  <si>
    <t xml:space="preserve">Ci:Labo Customer Marketing Co., Ltd. </t>
  </si>
  <si>
    <t xml:space="preserve">Ci:z. Labo Co., Ltd. </t>
  </si>
  <si>
    <t xml:space="preserve">Cilag AG </t>
  </si>
  <si>
    <t xml:space="preserve">Cilag GmbH International </t>
  </si>
  <si>
    <t xml:space="preserve">Cilag Holding AG </t>
  </si>
  <si>
    <t xml:space="preserve">Cilag Holding Treasury Unlimited Company </t>
  </si>
  <si>
    <t xml:space="preserve">Cilag-Biotech, S.L. </t>
  </si>
  <si>
    <t xml:space="preserve">Spain </t>
  </si>
  <si>
    <t xml:space="preserve">ColBar LifeScience Ltd. </t>
  </si>
  <si>
    <t xml:space="preserve">Cordis de Mexico, S.A. de C.V. </t>
  </si>
  <si>
    <t xml:space="preserve">Mexico </t>
  </si>
  <si>
    <t xml:space="preserve">Corimmun GmbH </t>
  </si>
  <si>
    <t xml:space="preserve">Debs-Vogue Corporation (Proprietary) Limited </t>
  </si>
  <si>
    <t>South Africa</t>
  </si>
  <si>
    <t xml:space="preserve">DePuy Hellas SA </t>
  </si>
  <si>
    <t xml:space="preserve">Greece </t>
  </si>
  <si>
    <t xml:space="preserve">DePuy International Limited </t>
  </si>
  <si>
    <t xml:space="preserve">DePuy Ireland Unlimited Company </t>
  </si>
  <si>
    <t xml:space="preserve">DePuy Mexico, S.A. de C.V. </t>
  </si>
  <si>
    <t xml:space="preserve">DePuy Synthes Gorgan Limited </t>
  </si>
  <si>
    <t xml:space="preserve">DePuy Synthes Leto SARL </t>
  </si>
  <si>
    <t xml:space="preserve">Luxembourg </t>
  </si>
  <si>
    <t xml:space="preserve">EES Holdings de Mexico, S. de R.L. de C.V. </t>
  </si>
  <si>
    <t xml:space="preserve">EES, S.A. de C.V. </t>
  </si>
  <si>
    <t xml:space="preserve">EIT Emerging Implant Technologies GmbH </t>
  </si>
  <si>
    <t xml:space="preserve">Ethicon Endo-Surgery (Europe) GmbH </t>
  </si>
  <si>
    <t xml:space="preserve">Ethicon PR Holdings Unlimited Company </t>
  </si>
  <si>
    <t xml:space="preserve">Ethicon Sarl </t>
  </si>
  <si>
    <t xml:space="preserve">Ethicon Women's Health &amp; Urology Sarl </t>
  </si>
  <si>
    <t xml:space="preserve">Ethnor (Proprietary) Limited </t>
  </si>
  <si>
    <t xml:space="preserve">South Africa </t>
  </si>
  <si>
    <t xml:space="preserve">Ethnor del Istmo S.A. </t>
  </si>
  <si>
    <t xml:space="preserve">Panama </t>
  </si>
  <si>
    <t xml:space="preserve">Ethnor Farmaceutica, S.A. </t>
  </si>
  <si>
    <t xml:space="preserve">Venezuela, Bolivarian Republic </t>
  </si>
  <si>
    <t xml:space="preserve">of </t>
  </si>
  <si>
    <t xml:space="preserve">Finsbury (Development) Limited </t>
  </si>
  <si>
    <t xml:space="preserve">Finsbury (Instruments) Limited </t>
  </si>
  <si>
    <t xml:space="preserve">Finsbury Medical Limited </t>
  </si>
  <si>
    <t xml:space="preserve">Finsbury Orthopaedics International Limited </t>
  </si>
  <si>
    <t xml:space="preserve">Finsbury Orthopaedics Limited </t>
  </si>
  <si>
    <t xml:space="preserve">FMS Future Medical System SA </t>
  </si>
  <si>
    <t xml:space="preserve">GH Biotech Holdings Limited </t>
  </si>
  <si>
    <t xml:space="preserve">Global Investment Participation B.V. </t>
  </si>
  <si>
    <t xml:space="preserve">GMED Healthcare BV </t>
  </si>
  <si>
    <t xml:space="preserve">Belgium </t>
  </si>
  <si>
    <t xml:space="preserve">GMED Healthcare BV (Branch) </t>
  </si>
  <si>
    <t xml:space="preserve">United Arab Emirates </t>
  </si>
  <si>
    <t xml:space="preserve">Guangzhou Bioseal Biotech Co., Ltd. </t>
  </si>
  <si>
    <t xml:space="preserve">Hansen Medical Deutschland GmbH </t>
  </si>
  <si>
    <t xml:space="preserve">Hansen Medical UK Limited </t>
  </si>
  <si>
    <t xml:space="preserve">Healthcare Services (Shanghai) Ltd. </t>
  </si>
  <si>
    <r>
      <t>Innomedic Gesellschaft f</t>
    </r>
    <r>
      <rPr>
        <sz val="8.1"/>
        <color rgb="FF000000"/>
        <rFont val="DejaVuSans"/>
      </rPr>
      <t>✔</t>
    </r>
    <r>
      <rPr>
        <sz val="8.1"/>
        <color rgb="FF000000"/>
        <rFont val="Times New Roman"/>
        <family val="1"/>
      </rPr>
      <t xml:space="preserve">r innovative Medizintechnik und Informatik mbH </t>
    </r>
  </si>
  <si>
    <t xml:space="preserve">J &amp; J Company West Africa Limited </t>
  </si>
  <si>
    <t xml:space="preserve">Nigeria </t>
  </si>
  <si>
    <t xml:space="preserve">J&amp;J Pension Trustees Limited </t>
  </si>
  <si>
    <t xml:space="preserve">J.C. General Services BV </t>
  </si>
  <si>
    <t xml:space="preserve">Janssen Alzheimer Immunotherapy (Holding) Limited </t>
  </si>
  <si>
    <t xml:space="preserve">Janssen Biologics (Ireland) Limited </t>
  </si>
  <si>
    <t xml:space="preserve">Janssen Biologics B.V. </t>
  </si>
  <si>
    <t xml:space="preserve">Janssen Cilag Farmaceutica S.A. </t>
  </si>
  <si>
    <t xml:space="preserve">Argentina </t>
  </si>
  <si>
    <t xml:space="preserve">Janssen Cilag S.p.A. </t>
  </si>
  <si>
    <t xml:space="preserve">Janssen Cilag SPA </t>
  </si>
  <si>
    <t xml:space="preserve">Algeria </t>
  </si>
  <si>
    <t xml:space="preserve">Janssen Cilag, C.A. </t>
  </si>
  <si>
    <t xml:space="preserve">Janssen Development Finance Unlimited Company </t>
  </si>
  <si>
    <t xml:space="preserve">Janssen Egypt LLC </t>
  </si>
  <si>
    <t xml:space="preserve">Egypt </t>
  </si>
  <si>
    <t xml:space="preserve">Janssen Farmaceutica Portugal Lda </t>
  </si>
  <si>
    <t xml:space="preserve">Portugal </t>
  </si>
  <si>
    <t xml:space="preserve">Janssen Holding GmbH </t>
  </si>
  <si>
    <t xml:space="preserve">Janssen Inc. </t>
  </si>
  <si>
    <t xml:space="preserve">Janssen Irish Finance Unlimited Company </t>
  </si>
  <si>
    <t xml:space="preserve">Janssen Korea Ltd. </t>
  </si>
  <si>
    <t xml:space="preserve">Janssen Pharmaceutica (Proprietary) Limited </t>
  </si>
  <si>
    <t xml:space="preserve">Janssen Pharmaceutica NV </t>
  </si>
  <si>
    <t xml:space="preserve">Janssen Pharmaceutica S.A. </t>
  </si>
  <si>
    <t xml:space="preserve">Peru </t>
  </si>
  <si>
    <t xml:space="preserve">Janssen Pharmaceutical K.K. </t>
  </si>
  <si>
    <t xml:space="preserve">Janssen Pharmaceutical Sciences Unlimited Company </t>
  </si>
  <si>
    <t xml:space="preserve">Janssen Pharmaceutical Unlimited Company </t>
  </si>
  <si>
    <t>Ireland</t>
  </si>
  <si>
    <t xml:space="preserve">Janssen Pharmaceuticals, Inc., Japan Branch </t>
  </si>
  <si>
    <t xml:space="preserve">Janssen R&amp;D Ireland Unlimited Company </t>
  </si>
  <si>
    <t xml:space="preserve">Janssen Sciences Ireland Unlimited Company </t>
  </si>
  <si>
    <t xml:space="preserve">Janssen Vaccines &amp; Prevention B.V. </t>
  </si>
  <si>
    <t xml:space="preserve">Janssen Vaccines Corp. </t>
  </si>
  <si>
    <t xml:space="preserve">Janssen Vaccines, Branch of Cilag GmbH International </t>
  </si>
  <si>
    <t xml:space="preserve">Janssen-Cilag </t>
  </si>
  <si>
    <t xml:space="preserve">Janssen-Cilag (New Zealand) Limited </t>
  </si>
  <si>
    <t xml:space="preserve">Janssen-Cilag A/S </t>
  </si>
  <si>
    <t xml:space="preserve">Janssen-Cilag AG </t>
  </si>
  <si>
    <t xml:space="preserve">Janssen-Cilag Aktiebolag </t>
  </si>
  <si>
    <t xml:space="preserve">Janssen-Cilag AS </t>
  </si>
  <si>
    <t xml:space="preserve">Janssen-Cilag B.V. </t>
  </si>
  <si>
    <t xml:space="preserve">Janssen-Cilag de Mexico S. de R.L. de C.V. </t>
  </si>
  <si>
    <t xml:space="preserve">Janssen-Cilag Farmaceutica Lda. </t>
  </si>
  <si>
    <t xml:space="preserve">Janssen-Cilag Farmaceutica Ltda. </t>
  </si>
  <si>
    <t xml:space="preserve">Brazil </t>
  </si>
  <si>
    <t xml:space="preserve">Janssen-Cilag GmbH </t>
  </si>
  <si>
    <t xml:space="preserve">Janssen-Cilag International NV </t>
  </si>
  <si>
    <t xml:space="preserve">Janssen-Cilag Kft. </t>
  </si>
  <si>
    <t xml:space="preserve">Hungary </t>
  </si>
  <si>
    <t xml:space="preserve">Janssen-Cilag Kft. Branch Office </t>
  </si>
  <si>
    <t xml:space="preserve">Janssen-Cilag Limited </t>
  </si>
  <si>
    <t xml:space="preserve">Thailand </t>
  </si>
  <si>
    <t xml:space="preserve">Janssen-Cilag NV </t>
  </si>
  <si>
    <t xml:space="preserve">Janssen-Cilag OY </t>
  </si>
  <si>
    <t xml:space="preserve">Finland </t>
  </si>
  <si>
    <t xml:space="preserve">Janssen-Cilag Pharma GmbH </t>
  </si>
  <si>
    <t xml:space="preserve">Austria </t>
  </si>
  <si>
    <t xml:space="preserve">Janssen-Cilag Pharmaceutical S.A.C.I. </t>
  </si>
  <si>
    <t xml:space="preserve">Janssen-Cilag Polska, Sp. z o.o. </t>
  </si>
  <si>
    <t xml:space="preserve">Poland </t>
  </si>
  <si>
    <t xml:space="preserve">Janssen-Cilag Pty Ltd </t>
  </si>
  <si>
    <t xml:space="preserve">Janssen-Cilag Pty Ltd (Branch) </t>
  </si>
  <si>
    <t xml:space="preserve">Janssen-Cilag S.A. </t>
  </si>
  <si>
    <t xml:space="preserve">Colombia </t>
  </si>
  <si>
    <t xml:space="preserve">Janssen-Cilag s.r.o. </t>
  </si>
  <si>
    <t xml:space="preserve">Czech Republic </t>
  </si>
  <si>
    <t xml:space="preserve">Janssen-Cilag, S.A. </t>
  </si>
  <si>
    <t xml:space="preserve">Janssen-Cilag, S.A. de C.V. </t>
  </si>
  <si>
    <t xml:space="preserve">Janssen-Pharma, S.L. </t>
  </si>
  <si>
    <t xml:space="preserve">J-C Health Care Ltd. </t>
  </si>
  <si>
    <t xml:space="preserve">JJ Surgical Vision Spain, S.L. </t>
  </si>
  <si>
    <t xml:space="preserve">JJC Acquisition Company B.V. </t>
  </si>
  <si>
    <t xml:space="preserve">JJSV Belgium BV </t>
  </si>
  <si>
    <t xml:space="preserve">JJSV Manufacturing Malaysia SDN. BHD. </t>
  </si>
  <si>
    <t xml:space="preserve">Malaysia </t>
  </si>
  <si>
    <t xml:space="preserve">JJSV Norden AB </t>
  </si>
  <si>
    <t xml:space="preserve">JJSV Produtos Oticos Ltda. </t>
  </si>
  <si>
    <t xml:space="preserve">JNJ Global Business Services s.r.o. </t>
  </si>
  <si>
    <t xml:space="preserve">JNJ Holding EMEA B.V. </t>
  </si>
  <si>
    <t xml:space="preserve">Johnson &amp; Johnson - Societa' Per Azioni </t>
  </si>
  <si>
    <t xml:space="preserve">Johnson &amp; Johnson (Angola), Limitada </t>
  </si>
  <si>
    <t xml:space="preserve">Angola </t>
  </si>
  <si>
    <t xml:space="preserve">Johnson &amp; Johnson (China) Investment Ltd. </t>
  </si>
  <si>
    <t>China</t>
  </si>
  <si>
    <t xml:space="preserve">Johnson &amp; Johnson (China) Investment Ltd. Beijing Branch </t>
  </si>
  <si>
    <t xml:space="preserve">Johnson &amp; Johnson (Egypt) S.A.E. </t>
  </si>
  <si>
    <t xml:space="preserve">Johnson &amp; Johnson (Hong Kong) Limited </t>
  </si>
  <si>
    <t xml:space="preserve">Johnson &amp; Johnson (Ireland) Limited </t>
  </si>
  <si>
    <t xml:space="preserve">Johnson &amp; Johnson (Jamaica) Limited </t>
  </si>
  <si>
    <t xml:space="preserve">Jamaica </t>
  </si>
  <si>
    <t xml:space="preserve">Johnson &amp; Johnson (Kenya) Limited </t>
  </si>
  <si>
    <t xml:space="preserve">Kenya </t>
  </si>
  <si>
    <t xml:space="preserve">Johnson &amp; Johnson (Middle East) Inc. Service Center (DAFZA Branch) </t>
  </si>
  <si>
    <t xml:space="preserve">Johnson &amp; Johnson (Middle East), Inc. (DHCC Branch) </t>
  </si>
  <si>
    <t xml:space="preserve">Johnson &amp; Johnson (Middle East), Inc. (JAFZA Branch) </t>
  </si>
  <si>
    <t xml:space="preserve">Johnson &amp; Johnson (Mozambique), Limitada </t>
  </si>
  <si>
    <t xml:space="preserve">Mozambique </t>
  </si>
  <si>
    <t xml:space="preserve">Johnson &amp; Johnson (Namibia) (Proprietary) Limited </t>
  </si>
  <si>
    <t xml:space="preserve">Namibia </t>
  </si>
  <si>
    <t xml:space="preserve">Johnson &amp; Johnson (New Zealand) Limited </t>
  </si>
  <si>
    <t xml:space="preserve">Johnson &amp; Johnson (Philippines), Inc. </t>
  </si>
  <si>
    <t xml:space="preserve">Philippines </t>
  </si>
  <si>
    <t xml:space="preserve">Johnson &amp; Johnson (Private) Limited </t>
  </si>
  <si>
    <t xml:space="preserve">Zimbabwe </t>
  </si>
  <si>
    <t xml:space="preserve">Johnson &amp; Johnson (Thailand) Ltd. </t>
  </si>
  <si>
    <t xml:space="preserve">Johnson &amp; Johnson (Trinidad) Limited </t>
  </si>
  <si>
    <t xml:space="preserve">Trinidad and Tobago </t>
  </si>
  <si>
    <t xml:space="preserve">Johnson &amp; Johnson (Vietnam) Co., Ltd </t>
  </si>
  <si>
    <t xml:space="preserve">Vietnam </t>
  </si>
  <si>
    <t xml:space="preserve">Johnson &amp; Johnson AB </t>
  </si>
  <si>
    <t xml:space="preserve">Johnson &amp; Johnson AB Eesti filiaal (Branch) </t>
  </si>
  <si>
    <t xml:space="preserve">Estonia </t>
  </si>
  <si>
    <t xml:space="preserve">Johnson &amp; Johnson AG </t>
  </si>
  <si>
    <t xml:space="preserve">Johnson &amp; Johnson AG (Zuchwil Branch) </t>
  </si>
  <si>
    <t xml:space="preserve">Johnson &amp; Johnson Belgium Finance Company BV </t>
  </si>
  <si>
    <t xml:space="preserve">Johnson &amp; Johnson Bulgaria EOOD </t>
  </si>
  <si>
    <t xml:space="preserve">Bulgaria </t>
  </si>
  <si>
    <t xml:space="preserve">Johnson &amp; Johnson China Ltd. </t>
  </si>
  <si>
    <t xml:space="preserve">Johnson &amp; Johnson Consumer (Hong Kong) Limited </t>
  </si>
  <si>
    <t xml:space="preserve">Johnson &amp; Johnson Consumer (Thailand) Limited </t>
  </si>
  <si>
    <t xml:space="preserve">Johnson &amp; Johnson Consumer B.V. </t>
  </si>
  <si>
    <t xml:space="preserve">Johnson &amp; Johnson Consumer Health Care Switzerland, Branch of Janssen-Cilag AG </t>
  </si>
  <si>
    <t xml:space="preserve">Johnson &amp; Johnson Consumer Holdings France </t>
  </si>
  <si>
    <t xml:space="preserve">Johnson &amp; Johnson Consumer NV </t>
  </si>
  <si>
    <t xml:space="preserve">Johnson &amp; Johnson Consumer Saudi Arabia Limited </t>
  </si>
  <si>
    <t xml:space="preserve">Saudi Arabia </t>
  </si>
  <si>
    <t xml:space="preserve">Johnson &amp; Johnson Consumer Services EAME Ltd. </t>
  </si>
  <si>
    <t xml:space="preserve">Johnson &amp; Johnson Consumer, Inc. (Dominican Republic Branch) </t>
  </si>
  <si>
    <t xml:space="preserve">Dominican Republic </t>
  </si>
  <si>
    <t xml:space="preserve">Johnson &amp; Johnson d.o.o. </t>
  </si>
  <si>
    <t xml:space="preserve">Slovenia </t>
  </si>
  <si>
    <t xml:space="preserve">Johnson &amp; Johnson de Argentina S.A.C. e. I. </t>
  </si>
  <si>
    <t xml:space="preserve">Johnson &amp; Johnson de Chile Limitada </t>
  </si>
  <si>
    <t xml:space="preserve">Chile </t>
  </si>
  <si>
    <t xml:space="preserve">Johnson &amp; Johnson de Chile S.A. </t>
  </si>
  <si>
    <t xml:space="preserve">Johnson &amp; Johnson de Colombia S.A. </t>
  </si>
  <si>
    <t xml:space="preserve">Johnson &amp; Johnson de Mexico, S.A. de C.V. </t>
  </si>
  <si>
    <t xml:space="preserve">Johnson &amp; Johnson de Uruguay S.A. </t>
  </si>
  <si>
    <t xml:space="preserve">Uruguay </t>
  </si>
  <si>
    <t xml:space="preserve">Johnson &amp; Johnson de Venezuela, S.A. </t>
  </si>
  <si>
    <t xml:space="preserve">Johnson &amp; Johnson del Ecuador, S.A. </t>
  </si>
  <si>
    <t xml:space="preserve">Ecuador </t>
  </si>
  <si>
    <t xml:space="preserve">Johnson &amp; Johnson Del Paraguay, S.A. </t>
  </si>
  <si>
    <t xml:space="preserve">Paraguay </t>
  </si>
  <si>
    <t xml:space="preserve">Johnson &amp; Johnson del Peru S.A. </t>
  </si>
  <si>
    <t xml:space="preserve">Johnson &amp; Johnson do Brasil Industria E Comercio de Produtos Para Saude Ltda. </t>
  </si>
  <si>
    <t xml:space="preserve">Johnson &amp; Johnson Dominicana, S.A.S. </t>
  </si>
  <si>
    <t xml:space="preserve">Johnson &amp; Johnson European Treasury Unlimited Company </t>
  </si>
  <si>
    <t xml:space="preserve">Johnson &amp; Johnson Finance Limited </t>
  </si>
  <si>
    <t xml:space="preserve">Johnson &amp; Johnson Financial Services GmbH </t>
  </si>
  <si>
    <t xml:space="preserve">Johnson &amp; Johnson Financial Services GmbH (Branch Office) </t>
  </si>
  <si>
    <t xml:space="preserve">Johnson &amp; Johnson for Export and Import LLC </t>
  </si>
  <si>
    <t xml:space="preserve">Johnson &amp; Johnson Gesellschaft m.b.H. </t>
  </si>
  <si>
    <t xml:space="preserve">Johnson &amp; Johnson GmbH </t>
  </si>
  <si>
    <t xml:space="preserve">Johnson &amp; Johnson Guatemala, S.A. </t>
  </si>
  <si>
    <t>Guatemala</t>
  </si>
  <si>
    <t xml:space="preserve">Johnson &amp; Johnson Hellas Consumer Products Commercial Societe Anonyme </t>
  </si>
  <si>
    <t xml:space="preserve">Johnson &amp; Johnson Hemisferica S.A. </t>
  </si>
  <si>
    <t xml:space="preserve">Puerto Rico </t>
  </si>
  <si>
    <t xml:space="preserve">Johnson &amp; Johnson Holding GmbH </t>
  </si>
  <si>
    <t xml:space="preserve">Johnson &amp; Johnson Inc. </t>
  </si>
  <si>
    <t xml:space="preserve">Johnson &amp; Johnson Industrial Ltda. </t>
  </si>
  <si>
    <t xml:space="preserve">Johnson &amp; Johnson Innovation Limited </t>
  </si>
  <si>
    <t xml:space="preserve">Johnson &amp; Johnson International (Belgian Branch) (European Logistics Center) </t>
  </si>
  <si>
    <t xml:space="preserve">Johnson &amp; Johnson International (Singapore) Pte. Ltd. </t>
  </si>
  <si>
    <t xml:space="preserve">Johnson &amp; Johnson International (Singapore) Pte. Ltd. (Branch) </t>
  </si>
  <si>
    <t xml:space="preserve">Johnson &amp; Johnson International Financial Services Unlimited Company </t>
  </si>
  <si>
    <t xml:space="preserve">Johnson &amp; Johnson K.K. </t>
  </si>
  <si>
    <t xml:space="preserve">Johnson &amp; Johnson Kft. </t>
  </si>
  <si>
    <t xml:space="preserve">Johnson &amp; Johnson Korea Ltd. </t>
  </si>
  <si>
    <t xml:space="preserve">Johnson &amp; Johnson Korea Selling &amp; Distribution LLC </t>
  </si>
  <si>
    <t xml:space="preserve">Johnson &amp; Johnson Limited </t>
  </si>
  <si>
    <t xml:space="preserve">Johnson &amp; Johnson Limited (Sri Lanka Branch) </t>
  </si>
  <si>
    <t xml:space="preserve">Sri Lanka </t>
  </si>
  <si>
    <t xml:space="preserve">Johnson &amp; Johnson LLC </t>
  </si>
  <si>
    <t xml:space="preserve">Russian Federation </t>
  </si>
  <si>
    <t xml:space="preserve">Johnson &amp; Johnson Luxembourg Finance Company Sarl </t>
  </si>
  <si>
    <t xml:space="preserve">Johnson &amp; Johnson Management Limited </t>
  </si>
  <si>
    <t xml:space="preserve">Johnson &amp; Johnson Medical (China) Ltd. </t>
  </si>
  <si>
    <t xml:space="preserve">Johnson &amp; Johnson Medical (Proprietary) Ltd </t>
  </si>
  <si>
    <t xml:space="preserve">Johnson &amp; Johnson Medical (Shanghai) Ltd. </t>
  </si>
  <si>
    <t xml:space="preserve">Johnson &amp; Johnson Medical (Shanghai) Ltd. Beijing Branch </t>
  </si>
  <si>
    <t xml:space="preserve">Johnson &amp; Johnson Medical (Suzhou) Ltd. </t>
  </si>
  <si>
    <t xml:space="preserve">Johnson &amp; Johnson Medical B.V. </t>
  </si>
  <si>
    <t xml:space="preserve">Johnson &amp; Johnson Medical GmbH </t>
  </si>
  <si>
    <t xml:space="preserve">Johnson &amp; Johnson Medical Korea Ltd. </t>
  </si>
  <si>
    <t xml:space="preserve">Johnson &amp; Johnson Medical Limited </t>
  </si>
  <si>
    <t xml:space="preserve">Johnson &amp; Johnson Medical Mexico, S.A. de C.V. </t>
  </si>
  <si>
    <t xml:space="preserve">Johnson &amp; Johnson Medical NV </t>
  </si>
  <si>
    <t xml:space="preserve">Johnson &amp; Johnson Medical Products GmbH </t>
  </si>
  <si>
    <t xml:space="preserve">Johnson &amp; Johnson Medical Pty Ltd </t>
  </si>
  <si>
    <t xml:space="preserve">Johnson &amp; Johnson Medical S.A. </t>
  </si>
  <si>
    <t xml:space="preserve">Johnson &amp; Johnson Medical S.p.A. </t>
  </si>
  <si>
    <t xml:space="preserve">Johnson &amp; Johnson Medical SAS </t>
  </si>
  <si>
    <t xml:space="preserve">Johnson &amp; Johnson Medical Saudi Arabia Limited </t>
  </si>
  <si>
    <t xml:space="preserve">Johnson &amp; Johnson Medical Taiwan Ltd. </t>
  </si>
  <si>
    <t xml:space="preserve">Johnson &amp; Johnson Medical, S.C.S. </t>
  </si>
  <si>
    <t xml:space="preserve">Johnson &amp; Johnson Medikal Sanayi ve Ticaret Limited Sirketi </t>
  </si>
  <si>
    <t xml:space="preserve">Turkey </t>
  </si>
  <si>
    <t xml:space="preserve">Johnson &amp; Johnson Medikal Sanayi ve Ticaret Limited Sirketi (Ankara Branch) </t>
  </si>
  <si>
    <t xml:space="preserve">Johnson &amp; Johnson Medikal Sanayi ve Ticaret Limited Sirketi (Izmir Branch) </t>
  </si>
  <si>
    <t xml:space="preserve">Johnson &amp; Johnson Middle East - Scientific Office </t>
  </si>
  <si>
    <t xml:space="preserve">Johnson &amp; Johnson Middle East FZ - LLC (Lebanese Branch) </t>
  </si>
  <si>
    <t xml:space="preserve">Lebanon </t>
  </si>
  <si>
    <t xml:space="preserve">Johnson &amp; Johnson Middle East FZ-LLC </t>
  </si>
  <si>
    <t xml:space="preserve">Johnson &amp; Johnson Middle East FZ-LLC (Ghana Branch) </t>
  </si>
  <si>
    <t xml:space="preserve">Ghana </t>
  </si>
  <si>
    <t xml:space="preserve">Johnson &amp; Johnson Middle East FZ-LLC (Kenya Branch) </t>
  </si>
  <si>
    <t xml:space="preserve">Johnson &amp; Johnson Middle East FZ-LLC Branch (TSO) (Saudi Arabia Branch) </t>
  </si>
  <si>
    <t xml:space="preserve">Johnson &amp; Johnson Morocco Societe Anonyme </t>
  </si>
  <si>
    <t xml:space="preserve">Morocco </t>
  </si>
  <si>
    <t xml:space="preserve">Johnson &amp; Johnson NCB (Belgian Branch) </t>
  </si>
  <si>
    <t xml:space="preserve">Johnson &amp; Johnson Nordic AB </t>
  </si>
  <si>
    <t xml:space="preserve">Johnson &amp; Johnson Pacific Pty Limited </t>
  </si>
  <si>
    <t xml:space="preserve">Johnson &amp; Johnson Pakistan (Private) Limited </t>
  </si>
  <si>
    <t xml:space="preserve">Pakistan </t>
  </si>
  <si>
    <t xml:space="preserve">Johnson &amp; Johnson Panama, S.A. </t>
  </si>
  <si>
    <t xml:space="preserve">Johnson &amp; Johnson Personal Care (Chile) S.A. </t>
  </si>
  <si>
    <t>Chile</t>
  </si>
  <si>
    <t xml:space="preserve">Johnson &amp; Johnson Poland sp. z o.o. oddzial w Warszawie "Consumer" </t>
  </si>
  <si>
    <t xml:space="preserve">Johnson &amp; Johnson Private Limited </t>
  </si>
  <si>
    <t xml:space="preserve">India </t>
  </si>
  <si>
    <t xml:space="preserve">Johnson &amp; Johnson Pte. Ltd. </t>
  </si>
  <si>
    <t xml:space="preserve">Johnson &amp; Johnson Pte. Ltd. Korea Branch </t>
  </si>
  <si>
    <t xml:space="preserve">Johnson &amp; Johnson Pty. Limited </t>
  </si>
  <si>
    <t xml:space="preserve">Johnson &amp; Johnson Romania S.R.L. </t>
  </si>
  <si>
    <t xml:space="preserve">Romania </t>
  </si>
  <si>
    <t xml:space="preserve">Johnson &amp; Johnson S.E. d.o.o. </t>
  </si>
  <si>
    <t xml:space="preserve">Croatia </t>
  </si>
  <si>
    <t xml:space="preserve">Johnson &amp; Johnson Sante Beaute France </t>
  </si>
  <si>
    <t xml:space="preserve">Johnson &amp; Johnson SDN. BHD. </t>
  </si>
  <si>
    <t xml:space="preserve">Johnson &amp; Johnson Surgical Vision India Private Limited </t>
  </si>
  <si>
    <t xml:space="preserve">Johnson &amp; Johnson Taiwan Ltd. </t>
  </si>
  <si>
    <t xml:space="preserve">Johnson &amp; Johnson UK Treasury Company Limited </t>
  </si>
  <si>
    <t xml:space="preserve">Johnson &amp; Johnson Ukraine LLC </t>
  </si>
  <si>
    <t xml:space="preserve">Ukraine </t>
  </si>
  <si>
    <t xml:space="preserve">Johnson &amp; Johnson Vision Care (Shanghai) Ltd. </t>
  </si>
  <si>
    <t xml:space="preserve">Johnson &amp; Johnson Vision Care Ireland Unlimited Company </t>
  </si>
  <si>
    <t xml:space="preserve">Johnson &amp; Johnson, Lda </t>
  </si>
  <si>
    <t xml:space="preserve">Johnson &amp; Johnson, S.A. </t>
  </si>
  <si>
    <t xml:space="preserve">Johnson &amp; Johnson, S.A. de C.V. </t>
  </si>
  <si>
    <t xml:space="preserve">Johnson &amp; Johnson, s.r.o. </t>
  </si>
  <si>
    <t xml:space="preserve">Slovakia </t>
  </si>
  <si>
    <t xml:space="preserve">Johnson and Johnson (Proprietary) Limited </t>
  </si>
  <si>
    <t xml:space="preserve">Johnson and Johnson Sihhi Malzeme Sanayi Ve Ticaret Limited Sirketi </t>
  </si>
  <si>
    <t xml:space="preserve">Johnson Y Johnson de Costa Rica, S.A. </t>
  </si>
  <si>
    <t xml:space="preserve">Costa Rica </t>
  </si>
  <si>
    <t xml:space="preserve">La Concha Land Investment Corporation </t>
  </si>
  <si>
    <t xml:space="preserve">Latam International Investment Company Unlimited Company </t>
  </si>
  <si>
    <t xml:space="preserve">Legal Entity Name </t>
  </si>
  <si>
    <t xml:space="preserve">Country </t>
  </si>
  <si>
    <t xml:space="preserve">McNeil AB </t>
  </si>
  <si>
    <t xml:space="preserve">McNeil Denmark ApS </t>
  </si>
  <si>
    <t xml:space="preserve">McNeil Healthcare (Ireland) Limited </t>
  </si>
  <si>
    <t xml:space="preserve">McNeil Healthcare (UK) Limited </t>
  </si>
  <si>
    <t xml:space="preserve">McNeil Iberica S.L.U. </t>
  </si>
  <si>
    <t xml:space="preserve">McNeil Panama, LLC </t>
  </si>
  <si>
    <t xml:space="preserve">McNeil Products Limited </t>
  </si>
  <si>
    <t xml:space="preserve">McNeil Sweden AB </t>
  </si>
  <si>
    <t xml:space="preserve">MDS Co. Ltd. </t>
  </si>
  <si>
    <t xml:space="preserve">Medos International Sarl </t>
  </si>
  <si>
    <t xml:space="preserve">Medos International Sàrl, succursale de Neuchâtel (Branch) </t>
  </si>
  <si>
    <t xml:space="preserve">Medos Sarl </t>
  </si>
  <si>
    <t xml:space="preserve">Menlo Care De Mexico, S.A. de C.V. </t>
  </si>
  <si>
    <t xml:space="preserve">Mentor B.V. </t>
  </si>
  <si>
    <t xml:space="preserve">Mentor Deutschland GmbH </t>
  </si>
  <si>
    <t xml:space="preserve">Mentor Medical Systems B.V. </t>
  </si>
  <si>
    <t xml:space="preserve">Momenta Ireland Limited </t>
  </si>
  <si>
    <t xml:space="preserve">NeoStrata UG (haftungsbeschränkt) </t>
  </si>
  <si>
    <t xml:space="preserve">Neuravi Limited </t>
  </si>
  <si>
    <t xml:space="preserve">Obtech Medical Mexico, S.A. de C.V. </t>
  </si>
  <si>
    <t xml:space="preserve">OBTECH Medical Sarl </t>
  </si>
  <si>
    <t xml:space="preserve">OGX Beauty Limited </t>
  </si>
  <si>
    <t xml:space="preserve">OMJ Holding GmbH </t>
  </si>
  <si>
    <t xml:space="preserve">OMJ Ireland Unlimited Company </t>
  </si>
  <si>
    <t xml:space="preserve">Omrix Biopharmaceuticals Ltd. </t>
  </si>
  <si>
    <t xml:space="preserve">Omrix Biopharmaceuticals NV </t>
  </si>
  <si>
    <t xml:space="preserve">Orthospin Ltd. </t>
  </si>
  <si>
    <t xml:space="preserve">Orthotaxy </t>
  </si>
  <si>
    <t>France</t>
  </si>
  <si>
    <t xml:space="preserve">Pharmadirect Ltd. </t>
  </si>
  <si>
    <t xml:space="preserve">Pharmedica Laboratories (Proprietary) Limited </t>
  </si>
  <si>
    <t xml:space="preserve">Productos de Cuidado Personal y de La Salud de Bolivia S.R.L. </t>
  </si>
  <si>
    <t xml:space="preserve">Bolivia </t>
  </si>
  <si>
    <t xml:space="preserve">Proleader S.A. </t>
  </si>
  <si>
    <t xml:space="preserve">PT Integrated Healthcare Indonesia </t>
  </si>
  <si>
    <t xml:space="preserve">Indonesia </t>
  </si>
  <si>
    <t xml:space="preserve">PT. Johnson &amp; Johnson Indonesia </t>
  </si>
  <si>
    <t xml:space="preserve">RespiVert Ltd. </t>
  </si>
  <si>
    <t xml:space="preserve">RoC International </t>
  </si>
  <si>
    <t xml:space="preserve">Sedona Singapore International Pte. Ltd. </t>
  </si>
  <si>
    <t xml:space="preserve">Sedona Thai International Co., Ltd. </t>
  </si>
  <si>
    <t xml:space="preserve">Serhum S.A. de C.V. </t>
  </si>
  <si>
    <t xml:space="preserve">Shanghai Elsker For Mother &amp; Baby Co., Ltd </t>
  </si>
  <si>
    <t xml:space="preserve">Shanghai Elsker Mother &amp; Baby Co., Ltd Minghang Branch </t>
  </si>
  <si>
    <t xml:space="preserve">Shanghai Johnson &amp; Johnson Ltd. </t>
  </si>
  <si>
    <t xml:space="preserve">Shanghai Johnson &amp; Johnson Pharmaceuticals Ltd. </t>
  </si>
  <si>
    <t xml:space="preserve">Sodiac ESV </t>
  </si>
  <si>
    <t xml:space="preserve">Spectrum Vision Limited Liability Company </t>
  </si>
  <si>
    <t xml:space="preserve">Spectrum Vision Limited Liability Partnership </t>
  </si>
  <si>
    <t xml:space="preserve">Surgical Process Institute Deutschland GmbH </t>
  </si>
  <si>
    <t xml:space="preserve">Synthes Costa Rica S.C.R., Limitada </t>
  </si>
  <si>
    <t xml:space="preserve">SYNTHES GmbH </t>
  </si>
  <si>
    <t xml:space="preserve">Synthes GmbH </t>
  </si>
  <si>
    <t xml:space="preserve">Synthes Holding AG </t>
  </si>
  <si>
    <t xml:space="preserve">Synthes Holding Limited </t>
  </si>
  <si>
    <t xml:space="preserve">SYNTHES Medical Immobilien GmbH </t>
  </si>
  <si>
    <t xml:space="preserve">Synthes Medical Surgical Equipment &amp; Instruments Trading LLC </t>
  </si>
  <si>
    <t xml:space="preserve">Synthes Produktions GmbH </t>
  </si>
  <si>
    <t xml:space="preserve">Synthes Proprietary Limited </t>
  </si>
  <si>
    <t xml:space="preserve">Synthes S.M.P., S. de R.L. de C.V. </t>
  </si>
  <si>
    <t xml:space="preserve">Synthes Tuttlingen GmbH </t>
  </si>
  <si>
    <t xml:space="preserve">UAB "Johnson &amp; Johnson" </t>
  </si>
  <si>
    <t xml:space="preserve">Lithuania </t>
  </si>
  <si>
    <t xml:space="preserve">UAB Johnson &amp; Johnson Eesti Filiaal (Estonian Branch) </t>
  </si>
  <si>
    <t xml:space="preserve">Vania Expansion </t>
  </si>
  <si>
    <t xml:space="preserve">Vision Care Finance Unlimited Company </t>
  </si>
  <si>
    <t xml:space="preserve">Xian Janssen Pharmaceutical Ltd. </t>
  </si>
  <si>
    <t xml:space="preserve">Xian-Janssen Pharmaceutical Ltd. Beijing Branch Office </t>
  </si>
  <si>
    <t xml:space="preserve">Xian-Janssen Pharmaceutical Ltd. Shanghai Branch Office </t>
  </si>
  <si>
    <t xml:space="preserve">XO1 Limited </t>
  </si>
  <si>
    <t>United Kingdom</t>
  </si>
  <si>
    <t xml:space="preserve">Total number of subsidiaries </t>
  </si>
  <si>
    <t>Number of subsidiaries internationally</t>
  </si>
  <si>
    <t>Number of subsidiaries in the U.S.</t>
  </si>
  <si>
    <t>Beauty</t>
  </si>
  <si>
    <t>Grooming</t>
  </si>
  <si>
    <t>Health Care</t>
  </si>
  <si>
    <t>Fabric &amp; Home Care</t>
  </si>
  <si>
    <t>Baby, Feminine &amp; Family Care</t>
  </si>
  <si>
    <t>Total P&amp;G</t>
  </si>
  <si>
    <t>P &amp; G</t>
  </si>
  <si>
    <t>in millon</t>
  </si>
  <si>
    <t>average growth rate</t>
  </si>
  <si>
    <t>Geographic Sales (in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</si>
</sst>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.1"/>
      <color rgb="FF000000"/>
      <name val="Times New Roman"/>
      <family val="1"/>
    </font>
    <font>
      <sz val="8.1"/>
      <color rgb="FF000000"/>
      <name val="DejaVuSans"/>
    </font>
    <font>
      <b/>
      <sz val="8.1"/>
      <color rgb="FF000000"/>
      <name val="TimesNewRomanPS-BoldMT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Health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E7-1643-93F9-4E644FBD5D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E7-1643-93F9-4E644FBD5D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'J&amp;J'!$B$3:$B$4</c:f>
              <c:strCache>
                <c:ptCount val="2"/>
                <c:pt idx="0">
                  <c:v>U.S.</c:v>
                </c:pt>
                <c:pt idx="1">
                  <c:v>International</c:v>
                </c:pt>
              </c:strCache>
            </c:strRef>
          </c:cat>
          <c:val>
            <c:numRef>
              <c:f>'J&amp;J'!$C$3:$C$4</c:f>
              <c:numCache>
                <c:formatCode>General</c:formatCode>
                <c:ptCount val="2"/>
                <c:pt idx="0">
                  <c:v>6516</c:v>
                </c:pt>
                <c:pt idx="1">
                  <c:v>8119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4-A542-808B-9EFCBD25F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Health 2020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46-3A4D-9A3B-06581EC9EC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46-3A4D-9A3B-06581EC9EC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46-3A4D-9A3B-06581EC9ECB6}"/>
              </c:ext>
            </c:extLst>
          </c:dPt>
          <c:cat>
            <c:strRef>
              <c:f>'J&amp;J'!$B$3:$B$5</c:f>
              <c:strCache>
                <c:ptCount val="3"/>
                <c:pt idx="0">
                  <c:v>U.S.</c:v>
                </c:pt>
                <c:pt idx="1">
                  <c:v>International</c:v>
                </c:pt>
                <c:pt idx="2">
                  <c:v>Worldwide</c:v>
                </c:pt>
              </c:strCache>
            </c:strRef>
          </c:cat>
          <c:val>
            <c:numRef>
              <c:f>'J&amp;J'!$D$3:$D$5</c:f>
              <c:numCache>
                <c:formatCode>General</c:formatCode>
                <c:ptCount val="3"/>
                <c:pt idx="0">
                  <c:v>6362</c:v>
                </c:pt>
                <c:pt idx="1">
                  <c:v>7691</c:v>
                </c:pt>
                <c:pt idx="2">
                  <c:v>14053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0-904B-99FF-EAF9E97F2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Health 2019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4-9742-BA51-9F578B6844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4-9742-BA51-9F578B6844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4-9742-BA51-9F578B6844FB}"/>
              </c:ext>
            </c:extLst>
          </c:dPt>
          <c:cat>
            <c:strRef>
              <c:f>'J&amp;J'!$B$3:$B$5</c:f>
              <c:strCache>
                <c:ptCount val="3"/>
                <c:pt idx="0">
                  <c:v>U.S.</c:v>
                </c:pt>
                <c:pt idx="1">
                  <c:v>International</c:v>
                </c:pt>
                <c:pt idx="2">
                  <c:v>Worldwide</c:v>
                </c:pt>
              </c:strCache>
            </c:strRef>
          </c:cat>
          <c:val>
            <c:numRef>
              <c:f>'J&amp;J'!$E$3:$E$5</c:f>
              <c:numCache>
                <c:formatCode>General</c:formatCode>
                <c:ptCount val="3"/>
                <c:pt idx="0">
                  <c:v>5839</c:v>
                </c:pt>
                <c:pt idx="1">
                  <c:v>8059</c:v>
                </c:pt>
                <c:pt idx="2">
                  <c:v>13898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A-C74E-84B7-EC7ACB729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Pharmaceutical</a:t>
            </a:r>
            <a:r>
              <a:rPr lang="en-US" baseline="0"/>
              <a:t>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95-6F46-8A48-7BCFE66BAD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95-6F46-8A48-7BCFE66BAD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'J&amp;J'!$B$6:$B$7</c:f>
              <c:strCache>
                <c:ptCount val="2"/>
                <c:pt idx="0">
                  <c:v>U.S.</c:v>
                </c:pt>
                <c:pt idx="1">
                  <c:v>International</c:v>
                </c:pt>
              </c:strCache>
            </c:strRef>
          </c:cat>
          <c:val>
            <c:numRef>
              <c:f>'J&amp;J'!$C$6:$C$7</c:f>
              <c:numCache>
                <c:formatCode>General</c:formatCode>
                <c:ptCount val="2"/>
                <c:pt idx="0">
                  <c:v>27954</c:v>
                </c:pt>
                <c:pt idx="1">
                  <c:v>24126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C-3D4C-9F94-D5B8B6FBE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Johnson &amp; Johnson</a:t>
            </a:r>
            <a:r>
              <a:rPr lang="en-US" sz="1400" b="0" i="0" u="none" strike="noStrike" baseline="0"/>
              <a:t>  Geographic Sale</a:t>
            </a:r>
            <a:endParaRPr lang="en-US"/>
          </a:p>
        </c:rich>
      </c:tx>
      <c:layout>
        <c:manualLayout>
          <c:xMode val="edge"/>
          <c:yMode val="edge"/>
          <c:x val="0.1872777777777777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A5-5F4F-8D1E-73047B7245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A5-5F4F-8D1E-73047B7245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A5-5F4F-8D1E-73047B7245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A5-5F4F-8D1E-73047B7245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('J&amp;J'!$I$3,'J&amp;J'!$I$5:$I$7)</c:f>
              <c:strCache>
                <c:ptCount val="4"/>
                <c:pt idx="0">
                  <c:v>U.S.</c:v>
                </c:pt>
                <c:pt idx="1">
                  <c:v>Europe</c:v>
                </c:pt>
                <c:pt idx="2">
                  <c:v>Western Hemisphere excluding U.S.</c:v>
                </c:pt>
                <c:pt idx="3">
                  <c:v>Asia-Pacific, Africa</c:v>
                </c:pt>
              </c:strCache>
            </c:strRef>
          </c:cat>
          <c:val>
            <c:numRef>
              <c:f>('J&amp;J'!$J$3,'J&amp;J'!$J$5:$J$7)</c:f>
              <c:numCache>
                <c:formatCode>General</c:formatCode>
                <c:ptCount val="4"/>
                <c:pt idx="0">
                  <c:v>47156</c:v>
                </c:pt>
                <c:pt idx="1">
                  <c:v>23594</c:v>
                </c:pt>
                <c:pt idx="2">
                  <c:v>5750</c:v>
                </c:pt>
                <c:pt idx="3">
                  <c:v>17275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2-D040-8135-724D2A20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Johnson &amp; Johnson Geographic Sale 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10096673623207239"/>
          <c:y val="4.3877736587216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'J&amp;J'!$I$3</c:f>
              <c:strCache>
                <c:ptCount val="1"/>
                <c:pt idx="0">
                  <c:v>U.S.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'J&amp;J'!$J$2:$L$2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'J&amp;J'!$J$3:$L$3</c:f>
              <c:numCache>
                <c:formatCode>General</c:formatCode>
                <c:ptCount val="3"/>
                <c:pt idx="0">
                  <c:v>47156</c:v>
                </c:pt>
                <c:pt idx="1">
                  <c:v>43133</c:v>
                </c:pt>
                <c:pt idx="2">
                  <c:v>42097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814B-B7F8-454CF1F4E25E}"/>
            </c:ext>
          </c:extLst>
        </c:ser>
        <c:ser>
          <c:idx val="1"/>
          <c:order val="1"/>
          <c:tx>
            <c:strRef>
              <c:f>'J&amp;J'!$I$5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'J&amp;J'!$J$2:$L$2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'J&amp;J'!$J$5:$L$5</c:f>
              <c:numCache>
                <c:formatCode>General</c:formatCode>
                <c:ptCount val="3"/>
                <c:pt idx="0">
                  <c:v>23594</c:v>
                </c:pt>
                <c:pt idx="1">
                  <c:v>18980</c:v>
                </c:pt>
                <c:pt idx="2">
                  <c:v>18466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814B-B7F8-454CF1F4E25E}"/>
            </c:ext>
          </c:extLst>
        </c:ser>
        <c:ser>
          <c:idx val="2"/>
          <c:order val="2"/>
          <c:tx>
            <c:strRef>
              <c:f>'J&amp;J'!$I$6</c:f>
              <c:strCache>
                <c:ptCount val="1"/>
                <c:pt idx="0">
                  <c:v>Western Hemisphere excluding U.S.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'J&amp;J'!$J$2:$L$2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'J&amp;J'!$J$6:$L$6</c:f>
              <c:numCache>
                <c:formatCode>General</c:formatCode>
                <c:ptCount val="3"/>
                <c:pt idx="0">
                  <c:v>5750</c:v>
                </c:pt>
                <c:pt idx="1">
                  <c:v>5335</c:v>
                </c:pt>
                <c:pt idx="2">
                  <c:v>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F-814B-B7F8-454CF1F4E25E}"/>
            </c:ext>
          </c:extLst>
        </c:ser>
        <c:ser>
          <c:idx val="3"/>
          <c:order val="3"/>
          <c:tx>
            <c:strRef>
              <c:f>'J&amp;J'!$I$7</c:f>
              <c:strCache>
                <c:ptCount val="1"/>
                <c:pt idx="0">
                  <c:v>Asia-Pacific, Africa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'J&amp;J'!$J$2:$L$2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'J&amp;J'!$J$7:$L$7</c:f>
              <c:numCache>
                <c:formatCode>General</c:formatCode>
                <c:ptCount val="3"/>
                <c:pt idx="0">
                  <c:v>17275</c:v>
                </c:pt>
                <c:pt idx="1">
                  <c:v>15136</c:v>
                </c:pt>
                <c:pt idx="2">
                  <c:v>15555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3F-814B-B7F8-454CF1F4E2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39450655"/>
        <c:axId val="1796696639"/>
      </c:barChart>
      <c:catAx>
        <c:axId val="183945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696639"/>
        <c:crosses val="autoZero"/>
        <c:auto val="1"/>
        <c:lblAlgn val="ctr"/>
        <c:lblOffset val="100"/>
        <c:noMultiLvlLbl val="0"/>
      </c:catAx>
      <c:valAx>
        <c:axId val="17966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45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Johnson &amp; Johnson </a:t>
            </a:r>
            <a:r>
              <a:rPr lang="en-US"/>
              <a:t>Geographic Segment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'J&amp;J'!$A$3:$B$3</c:f>
              <c:strCache>
                <c:ptCount val="2"/>
                <c:pt idx="0">
                  <c:v>consumer health</c:v>
                </c:pt>
                <c:pt idx="1">
                  <c:v>U.S.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'J&amp;J'!$C$2:$E$2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'J&amp;J'!$C$3:$E$3</c:f>
              <c:numCache>
                <c:formatCode>General</c:formatCode>
                <c:ptCount val="3"/>
                <c:pt idx="0">
                  <c:v>6516</c:v>
                </c:pt>
                <c:pt idx="1">
                  <c:v>6362</c:v>
                </c:pt>
                <c:pt idx="2">
                  <c:v>5839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9-0F4B-9C59-3BF2D9A16643}"/>
            </c:ext>
          </c:extLst>
        </c:ser>
        <c:ser>
          <c:idx val="1"/>
          <c:order val="1"/>
          <c:tx>
            <c:strRef>
              <c:f>'J&amp;J'!$A$4:$B$4</c:f>
              <c:strCache>
                <c:ptCount val="2"/>
                <c:pt idx="0">
                  <c:v>consumer health</c:v>
                </c:pt>
                <c:pt idx="1">
                  <c:v>International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'J&amp;J'!$C$2:$E$2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'J&amp;J'!$C$4:$E$4</c:f>
              <c:numCache>
                <c:formatCode>General</c:formatCode>
                <c:ptCount val="3"/>
                <c:pt idx="0">
                  <c:v>8119</c:v>
                </c:pt>
                <c:pt idx="1">
                  <c:v>7691</c:v>
                </c:pt>
                <c:pt idx="2">
                  <c:v>8059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9-0F4B-9C59-3BF2D9A16643}"/>
            </c:ext>
          </c:extLst>
        </c:ser>
        <c:ser>
          <c:idx val="3"/>
          <c:order val="2"/>
          <c:tx>
            <c:strRef>
              <c:f>'J&amp;J'!$A$6:$B$6</c:f>
              <c:strCache>
                <c:ptCount val="2"/>
                <c:pt idx="0">
                  <c:v>pharmaceutical</c:v>
                </c:pt>
                <c:pt idx="1">
                  <c:v>U.S.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'J&amp;J'!$C$2:$E$2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'J&amp;J'!$C$6:$E$6</c:f>
              <c:numCache>
                <c:formatCode>General</c:formatCode>
                <c:ptCount val="3"/>
                <c:pt idx="0">
                  <c:v>27954</c:v>
                </c:pt>
                <c:pt idx="1">
                  <c:v>25735</c:v>
                </c:pt>
                <c:pt idx="2">
                  <c:v>23874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A9-0F4B-9C59-3BF2D9A16643}"/>
            </c:ext>
          </c:extLst>
        </c:ser>
        <c:ser>
          <c:idx val="4"/>
          <c:order val="3"/>
          <c:tx>
            <c:strRef>
              <c:f>'J&amp;J'!$A$7:$B$7</c:f>
              <c:strCache>
                <c:ptCount val="2"/>
                <c:pt idx="0">
                  <c:v>pharmaceutical</c:v>
                </c:pt>
                <c:pt idx="1">
                  <c:v>International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'J&amp;J'!$C$2:$E$2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'J&amp;J'!$C$7:$E$7</c:f>
              <c:numCache>
                <c:formatCode>General</c:formatCode>
                <c:ptCount val="3"/>
                <c:pt idx="0">
                  <c:v>24126</c:v>
                </c:pt>
                <c:pt idx="1">
                  <c:v>19837</c:v>
                </c:pt>
                <c:pt idx="2">
                  <c:v>18324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A9-0F4B-9C59-3BF2D9A16643}"/>
            </c:ext>
          </c:extLst>
        </c:ser>
        <c:ser>
          <c:idx val="5"/>
          <c:order val="4"/>
          <c:tx>
            <c:strRef>
              <c:f>'J&amp;J'!$A$9:$B$9</c:f>
              <c:strCache>
                <c:ptCount val="2"/>
                <c:pt idx="0">
                  <c:v>medical devices</c:v>
                </c:pt>
                <c:pt idx="1">
                  <c:v>U.S.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'J&amp;J'!$C$2:$E$2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'J&amp;J'!$C$9:$E$9</c:f>
              <c:numCache>
                <c:formatCode>General</c:formatCode>
                <c:ptCount val="3"/>
                <c:pt idx="0">
                  <c:v>12686</c:v>
                </c:pt>
                <c:pt idx="1">
                  <c:v>11036</c:v>
                </c:pt>
                <c:pt idx="2">
                  <c:v>12384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A9-0F4B-9C59-3BF2D9A16643}"/>
            </c:ext>
          </c:extLst>
        </c:ser>
        <c:ser>
          <c:idx val="6"/>
          <c:order val="5"/>
          <c:tx>
            <c:strRef>
              <c:f>'J&amp;J'!$A$10:$B$10</c:f>
              <c:strCache>
                <c:ptCount val="2"/>
                <c:pt idx="0">
                  <c:v>medical devices</c:v>
                </c:pt>
                <c:pt idx="1">
                  <c:v>International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'J&amp;J'!$C$2:$E$2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'J&amp;J'!$C$10:$E$10</c:f>
              <c:numCache>
                <c:formatCode>General</c:formatCode>
                <c:ptCount val="3"/>
                <c:pt idx="0">
                  <c:v>14374</c:v>
                </c:pt>
                <c:pt idx="1">
                  <c:v>11923</c:v>
                </c:pt>
                <c:pt idx="2">
                  <c:v>13579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A9-0F4B-9C59-3BF2D9A166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8972447"/>
        <c:axId val="1838960671"/>
      </c:barChart>
      <c:catAx>
        <c:axId val="183897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60671"/>
        <c:crosses val="autoZero"/>
        <c:auto val="1"/>
        <c:lblAlgn val="ctr"/>
        <c:lblOffset val="100"/>
        <c:noMultiLvlLbl val="0"/>
      </c:catAx>
      <c:valAx>
        <c:axId val="183896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7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'J&amp;J'!$A$3:$B$3</c:f>
              <c:strCache>
                <c:ptCount val="2"/>
                <c:pt idx="0">
                  <c:v>consumer health</c:v>
                </c:pt>
                <c:pt idx="1">
                  <c:v>U.S.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'J&amp;J'!$C$3:$E$3</c:f>
              <c:numCache>
                <c:formatCode>General</c:formatCode>
                <c:ptCount val="3"/>
                <c:pt idx="0">
                  <c:v>6516</c:v>
                </c:pt>
                <c:pt idx="1">
                  <c:v>6362</c:v>
                </c:pt>
                <c:pt idx="2">
                  <c:v>5839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5-EF4E-BE4E-BF3FB840D9C7}"/>
            </c:ext>
          </c:extLst>
        </c:ser>
        <c:ser>
          <c:idx val="1"/>
          <c:order val="1"/>
          <c:tx>
            <c:strRef>
              <c:f>'J&amp;J'!$A$4:$B$4</c:f>
              <c:strCache>
                <c:ptCount val="2"/>
                <c:pt idx="0">
                  <c:v>consumer health</c:v>
                </c:pt>
                <c:pt idx="1">
                  <c:v>International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'J&amp;J'!$C$4:$E$4</c:f>
              <c:numCache>
                <c:formatCode>General</c:formatCode>
                <c:ptCount val="3"/>
                <c:pt idx="0">
                  <c:v>8119</c:v>
                </c:pt>
                <c:pt idx="1">
                  <c:v>7691</c:v>
                </c:pt>
                <c:pt idx="2">
                  <c:v>8059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5-EF4E-BE4E-BF3FB840D9C7}"/>
            </c:ext>
          </c:extLst>
        </c:ser>
        <c:ser>
          <c:idx val="2"/>
          <c:order val="2"/>
          <c:tx>
            <c:strRef>
              <c:f>'J&amp;J'!$C$2:$D$2</c:f>
              <c:strCache>
                <c:ptCount val="2"/>
                <c:pt idx="0">
                  <c:v>2021</c:v>
                </c:pt>
                <c:pt idx="1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'J&amp;J'!$E$2</c:f>
              <c:numCache>
                <c:formatCode>General</c:formatCode>
                <c:ptCount val="1"/>
                <c:pt idx="0">
                  <c:v>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E5-EF4E-BE4E-BF3FB840D9C7}"/>
            </c:ext>
          </c:extLst>
        </c:ser>
        <c:ser>
          <c:idx val="3"/>
          <c:order val="3"/>
          <c:tx>
            <c:strRef>
              <c:f>'J&amp;J'!$A$6:$B$6</c:f>
              <c:strCache>
                <c:ptCount val="2"/>
                <c:pt idx="0">
                  <c:v>pharmaceutical</c:v>
                </c:pt>
                <c:pt idx="1">
                  <c:v>U.S.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'J&amp;J'!$C$6:$E$6</c:f>
              <c:numCache>
                <c:formatCode>General</c:formatCode>
                <c:ptCount val="3"/>
                <c:pt idx="0">
                  <c:v>27954</c:v>
                </c:pt>
                <c:pt idx="1">
                  <c:v>25735</c:v>
                </c:pt>
                <c:pt idx="2">
                  <c:v>23874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E5-EF4E-BE4E-BF3FB840D9C7}"/>
            </c:ext>
          </c:extLst>
        </c:ser>
        <c:ser>
          <c:idx val="4"/>
          <c:order val="4"/>
          <c:tx>
            <c:strRef>
              <c:f>'J&amp;J'!$A$7:$B$7</c:f>
              <c:strCache>
                <c:ptCount val="2"/>
                <c:pt idx="0">
                  <c:v>pharmaceutical</c:v>
                </c:pt>
                <c:pt idx="1">
                  <c:v>International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'J&amp;J'!$C$7:$E$7</c:f>
              <c:numCache>
                <c:formatCode>General</c:formatCode>
                <c:ptCount val="3"/>
                <c:pt idx="0">
                  <c:v>24126</c:v>
                </c:pt>
                <c:pt idx="1">
                  <c:v>19837</c:v>
                </c:pt>
                <c:pt idx="2">
                  <c:v>18324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E5-EF4E-BE4E-BF3FB840D9C7}"/>
            </c:ext>
          </c:extLst>
        </c:ser>
        <c:ser>
          <c:idx val="5"/>
          <c:order val="5"/>
          <c:tx>
            <c:strRef>
              <c:f>'J&amp;J'!$A$9:$B$9</c:f>
              <c:strCache>
                <c:ptCount val="2"/>
                <c:pt idx="0">
                  <c:v>medical devices</c:v>
                </c:pt>
                <c:pt idx="1">
                  <c:v>U.S.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'J&amp;J'!$C$9:$E$9</c:f>
              <c:numCache>
                <c:formatCode>General</c:formatCode>
                <c:ptCount val="3"/>
                <c:pt idx="0">
                  <c:v>12686</c:v>
                </c:pt>
                <c:pt idx="1">
                  <c:v>11036</c:v>
                </c:pt>
                <c:pt idx="2">
                  <c:v>12384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E5-EF4E-BE4E-BF3FB840D9C7}"/>
            </c:ext>
          </c:extLst>
        </c:ser>
        <c:ser>
          <c:idx val="6"/>
          <c:order val="6"/>
          <c:tx>
            <c:strRef>
              <c:f>'J&amp;J'!$A$10:$B$10</c:f>
              <c:strCache>
                <c:ptCount val="2"/>
                <c:pt idx="0">
                  <c:v>medical devices</c:v>
                </c:pt>
                <c:pt idx="1">
                  <c:v>International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'J&amp;J'!$C$10:$E$10</c:f>
              <c:numCache>
                <c:formatCode>General</c:formatCode>
                <c:ptCount val="3"/>
                <c:pt idx="0">
                  <c:v>14374</c:v>
                </c:pt>
                <c:pt idx="1">
                  <c:v>11923</c:v>
                </c:pt>
                <c:pt idx="2">
                  <c:v>13579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E5-EF4E-BE4E-BF3FB840D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5417263"/>
        <c:axId val="1685451231"/>
      </c:barChart>
      <c:catAx>
        <c:axId val="1685417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51231"/>
        <c:crosses val="autoZero"/>
        <c:auto val="1"/>
        <c:lblAlgn val="ctr"/>
        <c:lblOffset val="100"/>
        <c:noMultiLvlLbl val="0"/>
      </c:catAx>
      <c:valAx>
        <c:axId val="168545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1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Medical</a:t>
            </a:r>
            <a:r>
              <a:rPr lang="en-US" baseline="0"/>
              <a:t> Device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'J&amp;J'!$B$9:$B$10</c:f>
              <c:strCache>
                <c:ptCount val="2"/>
                <c:pt idx="0">
                  <c:v>U.S.</c:v>
                </c:pt>
                <c:pt idx="1">
                  <c:v>International</c:v>
                </c:pt>
              </c:strCache>
            </c:strRef>
          </c:cat>
          <c:val>
            <c:numRef>
              <c:f>'J&amp;J'!$C$9:$C$10</c:f>
              <c:numCache>
                <c:formatCode>General</c:formatCode>
                <c:ptCount val="2"/>
                <c:pt idx="0">
                  <c:v>12686</c:v>
                </c:pt>
                <c:pt idx="1">
                  <c:v>14374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A-5A46-B656-24855FF83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P&amp;G</a:t>
            </a:r>
            <a:r>
              <a:rPr lang="en-US" baseline="0"/>
              <a:t> Gobal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'P&amp;G'!$H$3</c:f>
              <c:strCache>
                <c:ptCount val="1"/>
                <c:pt idx="0">
                  <c:v>U.S.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'P&amp;G'!$I$2:$K$2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'P&amp;G'!$I$3:$K$3</c:f>
              <c:numCache>
                <c:formatCode>General</c:formatCode>
                <c:ptCount val="3"/>
                <c:pt idx="0">
                  <c:v>33700</c:v>
                </c:pt>
                <c:pt idx="1">
                  <c:v>31200</c:v>
                </c:pt>
                <c:pt idx="2">
                  <c:v>28600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9-914D-A3F2-D50F1827CD8E}"/>
            </c:ext>
          </c:extLst>
        </c:ser>
        <c:ser>
          <c:idx val="1"/>
          <c:order val="1"/>
          <c:tx>
            <c:strRef>
              <c:f>'P&amp;G'!$H$4</c:f>
              <c:strCache>
                <c:ptCount val="1"/>
                <c:pt idx="0">
                  <c:v>International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'P&amp;G'!$I$2:$K$2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</c:numCache>
            </c:numRef>
          </c:cat>
          <c:val>
            <c:numRef>
              <c:f>'P&amp;G'!$I$4:$K$4</c:f>
              <c:numCache>
                <c:formatCode>General</c:formatCode>
                <c:ptCount val="3"/>
                <c:pt idx="0">
                  <c:v>42400</c:v>
                </c:pt>
                <c:pt idx="1">
                  <c:v>39700</c:v>
                </c:pt>
                <c:pt idx="2">
                  <c:v>39100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9-914D-A3F2-D50F1827C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7264367"/>
        <c:axId val="1843164927"/>
      </c:barChart>
      <c:catAx>
        <c:axId val="186726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164927"/>
        <c:crosses val="autoZero"/>
        <c:auto val="1"/>
        <c:lblAlgn val="ctr"/>
        <c:lblOffset val="100"/>
        <c:noMultiLvlLbl val="0"/>
      </c:catAx>
      <c:valAx>
        <c:axId val="18431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26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P&amp;G Geographic Sale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'P&amp;G'!$H$3:$H$4</c:f>
              <c:strCache>
                <c:ptCount val="2"/>
                <c:pt idx="0">
                  <c:v>U.S.</c:v>
                </c:pt>
                <c:pt idx="1">
                  <c:v>International</c:v>
                </c:pt>
              </c:strCache>
            </c:strRef>
          </c:cat>
          <c:val>
            <c:numRef>
              <c:f>'P&amp;G'!$I$3:$I$4</c:f>
              <c:numCache>
                <c:formatCode>General</c:formatCode>
                <c:ptCount val="2"/>
                <c:pt idx="0">
                  <c:v>33700</c:v>
                </c:pt>
                <c:pt idx="1">
                  <c:v>42400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2-6D45-9FA7-FBC6F54BB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44450</xdr:rowOff>
    </xdr:from>
    <xdr:to>
      <xdr:col>3</xdr:col>
      <xdr:colOff>101600</xdr:colOff>
      <xdr:row>26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C19F0-435F-6C41-5A31-2C1169F93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69850</xdr:colOff>
      <xdr:row>14</xdr:row>
      <xdr:rowOff>44450</xdr:rowOff>
    </xdr:from>
    <xdr:to>
      <xdr:col>8</xdr:col>
      <xdr:colOff>330200</xdr:colOff>
      <xdr:row>26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68140A-D23A-7073-2C41-8FDA94A85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1238250</xdr:colOff>
      <xdr:row>13</xdr:row>
      <xdr:rowOff>196850</xdr:rowOff>
    </xdr:from>
    <xdr:to>
      <xdr:col>11</xdr:col>
      <xdr:colOff>419100</xdr:colOff>
      <xdr:row>26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389DCE-AF0E-B77A-AFF9-8D5082321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19051</xdr:rowOff>
    </xdr:from>
    <xdr:to>
      <xdr:col>3</xdr:col>
      <xdr:colOff>71349</xdr:colOff>
      <xdr:row>37</xdr:row>
      <xdr:rowOff>171237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ADF3BA-9708-9868-58A2-92FACF80E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1123950</xdr:colOff>
      <xdr:row>8</xdr:row>
      <xdr:rowOff>57150</xdr:rowOff>
    </xdr:from>
    <xdr:to>
      <xdr:col>11</xdr:col>
      <xdr:colOff>412750</xdr:colOff>
      <xdr:row>21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1CE0AA-62F5-5DC6-0680-1D8E57F5F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1024560</xdr:colOff>
      <xdr:row>21</xdr:row>
      <xdr:rowOff>183792</xdr:rowOff>
    </xdr:from>
    <xdr:to>
      <xdr:col>11</xdr:col>
      <xdr:colOff>470898</xdr:colOff>
      <xdr:row>37</xdr:row>
      <xdr:rowOff>171235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E00CD9-7E2B-65B1-7D89-FA3FE3DCE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496584</xdr:colOff>
      <xdr:row>21</xdr:row>
      <xdr:rowOff>69635</xdr:rowOff>
    </xdr:from>
    <xdr:to>
      <xdr:col>10</xdr:col>
      <xdr:colOff>171235</xdr:colOff>
      <xdr:row>41</xdr:row>
      <xdr:rowOff>156965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25897E0-F1DD-91E0-2671-ED714957B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881866</xdr:colOff>
      <xdr:row>63</xdr:row>
      <xdr:rowOff>183793</xdr:rowOff>
    </xdr:from>
    <xdr:to>
      <xdr:col>5</xdr:col>
      <xdr:colOff>302518</xdr:colOff>
      <xdr:row>77</xdr:row>
      <xdr:rowOff>130139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0825C6D-F767-5AC4-535B-55C7DB7E6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37</xdr:row>
      <xdr:rowOff>183793</xdr:rowOff>
    </xdr:from>
    <xdr:to>
      <xdr:col>3</xdr:col>
      <xdr:colOff>142697</xdr:colOff>
      <xdr:row>51</xdr:row>
      <xdr:rowOff>99888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0E31994-E04B-6E92-6A7B-401A8606E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797560</xdr:colOff>
      <xdr:row>7</xdr:row>
      <xdr:rowOff>40640</xdr:rowOff>
    </xdr:from>
    <xdr:to>
      <xdr:col>11</xdr:col>
      <xdr:colOff>431800</xdr:colOff>
      <xdr:row>20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1603D-5D88-3DF7-A3B3-CAAFBB1E5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1280160</xdr:colOff>
      <xdr:row>7</xdr:row>
      <xdr:rowOff>30480</xdr:rowOff>
    </xdr:from>
    <xdr:to>
      <xdr:col>5</xdr:col>
      <xdr:colOff>772160</xdr:colOff>
      <xdr:row>20</xdr:row>
      <xdr:rowOff>132080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79B41D-2CC1-8A06-2981-5C20A2305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602F-6FB1-564C-B36A-5D7A63C8F12A}">
  <dimension ref="A1:P14"/>
  <sheetViews>
    <sheetView tabSelected="1" zoomScale="89" workbookViewId="0">
      <selection activeCell="A2" sqref="A2:F11"/>
    </sheetView>
  </sheetViews>
  <sheetFormatPr baseColWidth="10" defaultRowHeight="16"/>
  <cols>
    <col min="1" max="1" width="23.5" bestFit="1" customWidth="1"/>
    <col min="2" max="2" width="11.6640625" bestFit="1" customWidth="1"/>
    <col min="6" max="6" width="18" bestFit="1" customWidth="1"/>
    <col min="8" max="8" width="16.6640625" bestFit="1" customWidth="1"/>
    <col min="9" max="9" width="31" bestFit="1" customWidth="1"/>
    <col min="13" max="13" width="18" bestFit="1" customWidth="1"/>
    <col min="14" max="14" width="16.6640625" bestFit="1" customWidth="1"/>
    <col min="15" max="15" width="32.83203125" bestFit="1" customWidth="1"/>
  </cols>
  <sheetData>
    <row r="1" spans="1:16">
      <c r="A1" t="s">
        <v>0</v>
      </c>
    </row>
    <row r="2" spans="1:16">
      <c r="A2" t="s">
        <v>1</v>
      </c>
      <c r="B2" t="s">
        <v>5</v>
      </c>
      <c r="C2">
        <v>2021</v>
      </c>
      <c r="D2">
        <v>2020</v>
      </c>
      <c r="E2">
        <v>2019</v>
      </c>
      <c r="F2" t="s">
        <v>629</v>
      </c>
      <c r="H2" t="s">
        <v>12</v>
      </c>
      <c r="I2" t="s">
        <v>630</v>
      </c>
      <c r="J2">
        <v>2021</v>
      </c>
      <c r="K2">
        <v>2020</v>
      </c>
      <c r="L2">
        <v>2019</v>
      </c>
      <c r="M2" t="s">
        <v>629</v>
      </c>
      <c r="N2" t="s">
        <v>12</v>
      </c>
      <c r="O2" t="s">
        <v>620</v>
      </c>
      <c r="P2">
        <f>278/2</f>
        <v>139</v>
      </c>
    </row>
    <row r="3" spans="1:16">
      <c r="A3" t="s">
        <v>2</v>
      </c>
      <c r="B3" t="s">
        <v>9</v>
      </c>
      <c r="C3">
        <v>6516</v>
      </c>
      <c r="D3">
        <v>6362</v>
      </c>
      <c r="E3">
        <v>5839</v>
      </c>
      <c r="F3" s="4">
        <f>(C3-E3)/E3</f>
        <v>0.11594451104641205</v>
      </c>
      <c r="I3" t="s">
        <v>9</v>
      </c>
      <c r="J3">
        <v>47156</v>
      </c>
      <c r="K3">
        <v>43133</v>
      </c>
      <c r="L3">
        <v>42097</v>
      </c>
      <c r="M3" s="4">
        <f>(J3-L3)/L3</f>
        <v>0.12017483431123357</v>
      </c>
      <c r="O3" t="s">
        <v>619</v>
      </c>
      <c r="P3">
        <f>730/2</f>
        <v>365</v>
      </c>
    </row>
    <row r="4" spans="1:16">
      <c r="A4" t="s">
        <v>2</v>
      </c>
      <c r="B4" t="s">
        <v>10</v>
      </c>
      <c r="C4">
        <v>8119</v>
      </c>
      <c r="D4">
        <v>7691</v>
      </c>
      <c r="E4">
        <v>8059</v>
      </c>
      <c r="F4" s="4">
        <f t="shared" ref="F4:F14" si="0">(C4-E4)/E4</f>
        <v>7.44509244323117E-3</v>
      </c>
      <c r="I4" s="1" t="s">
        <v>10</v>
      </c>
      <c r="J4">
        <v>46619</v>
      </c>
      <c r="K4">
        <v>39451</v>
      </c>
      <c r="L4">
        <v>39962</v>
      </c>
      <c r="M4" s="4">
        <f t="shared" ref="M4:M8" si="1">(J4-L4)/L4</f>
        <v>0.16658325409138683</v>
      </c>
      <c r="O4" t="s">
        <v>618</v>
      </c>
      <c r="P4">
        <f>P2+P3</f>
        <v>504</v>
      </c>
    </row>
    <row r="5" spans="1:16">
      <c r="A5" t="s">
        <v>2</v>
      </c>
      <c r="B5" s="1" t="s">
        <v>11</v>
      </c>
      <c r="C5">
        <v>14635</v>
      </c>
      <c r="D5">
        <v>14053</v>
      </c>
      <c r="E5">
        <v>13898</v>
      </c>
      <c r="F5" s="4">
        <f t="shared" si="0"/>
        <v>5.3029212836379333E-2</v>
      </c>
      <c r="I5" t="s">
        <v>13</v>
      </c>
      <c r="J5">
        <v>23594</v>
      </c>
      <c r="K5">
        <v>18980</v>
      </c>
      <c r="L5">
        <v>18466</v>
      </c>
      <c r="M5" s="4">
        <f t="shared" si="1"/>
        <v>0.27769955594064766</v>
      </c>
    </row>
    <row r="6" spans="1:16">
      <c r="A6" t="s">
        <v>3</v>
      </c>
      <c r="B6" t="s">
        <v>9</v>
      </c>
      <c r="C6">
        <v>27954</v>
      </c>
      <c r="D6">
        <v>25735</v>
      </c>
      <c r="E6">
        <v>23874</v>
      </c>
      <c r="F6" s="4">
        <f t="shared" si="0"/>
        <v>0.1708972103543604</v>
      </c>
      <c r="I6" t="s">
        <v>14</v>
      </c>
      <c r="J6">
        <v>5750</v>
      </c>
      <c r="K6">
        <v>5335</v>
      </c>
      <c r="L6">
        <v>5941</v>
      </c>
      <c r="M6" s="4">
        <f t="shared" si="1"/>
        <v>-3.2149469786231274E-2</v>
      </c>
    </row>
    <row r="7" spans="1:16">
      <c r="A7" t="s">
        <v>3</v>
      </c>
      <c r="B7" t="s">
        <v>10</v>
      </c>
      <c r="C7">
        <v>24126</v>
      </c>
      <c r="D7">
        <v>19837</v>
      </c>
      <c r="E7">
        <v>18324</v>
      </c>
      <c r="F7" s="4">
        <f t="shared" si="0"/>
        <v>0.31663392272429602</v>
      </c>
      <c r="I7" t="s">
        <v>15</v>
      </c>
      <c r="J7">
        <v>17275</v>
      </c>
      <c r="K7">
        <v>15136</v>
      </c>
      <c r="L7">
        <v>15555</v>
      </c>
      <c r="M7" s="4">
        <f t="shared" si="1"/>
        <v>0.11057537769206043</v>
      </c>
    </row>
    <row r="8" spans="1:16">
      <c r="A8" t="s">
        <v>3</v>
      </c>
      <c r="B8" s="1" t="s">
        <v>11</v>
      </c>
      <c r="C8">
        <v>52080</v>
      </c>
      <c r="D8">
        <v>45572</v>
      </c>
      <c r="E8">
        <v>42198</v>
      </c>
      <c r="F8" s="4">
        <f t="shared" si="0"/>
        <v>0.23418171477321201</v>
      </c>
      <c r="I8" s="1" t="s">
        <v>11</v>
      </c>
      <c r="J8">
        <v>93775</v>
      </c>
      <c r="K8">
        <v>82584</v>
      </c>
      <c r="L8">
        <v>82059</v>
      </c>
      <c r="M8" s="4">
        <f t="shared" si="1"/>
        <v>0.14277532019644401</v>
      </c>
    </row>
    <row r="9" spans="1:16">
      <c r="A9" t="s">
        <v>4</v>
      </c>
      <c r="B9" t="s">
        <v>9</v>
      </c>
      <c r="C9">
        <v>12686</v>
      </c>
      <c r="D9">
        <v>11036</v>
      </c>
      <c r="E9">
        <v>12384</v>
      </c>
      <c r="F9" s="4">
        <f t="shared" si="0"/>
        <v>2.4386304909560723E-2</v>
      </c>
    </row>
    <row r="10" spans="1:16">
      <c r="A10" t="s">
        <v>4</v>
      </c>
      <c r="B10" t="s">
        <v>10</v>
      </c>
      <c r="C10">
        <v>14374</v>
      </c>
      <c r="D10">
        <v>11923</v>
      </c>
      <c r="E10">
        <v>13579</v>
      </c>
      <c r="F10" s="4">
        <f t="shared" si="0"/>
        <v>5.8546284704322854E-2</v>
      </c>
    </row>
    <row r="11" spans="1:16">
      <c r="A11" t="s">
        <v>4</v>
      </c>
      <c r="B11" s="1" t="s">
        <v>11</v>
      </c>
      <c r="C11">
        <v>27060</v>
      </c>
      <c r="D11">
        <v>22959</v>
      </c>
      <c r="E11">
        <v>25963</v>
      </c>
      <c r="F11" s="4">
        <f t="shared" si="0"/>
        <v>4.2252436159149559E-2</v>
      </c>
    </row>
    <row r="12" spans="1:16">
      <c r="A12" t="s">
        <v>12</v>
      </c>
      <c r="B12" t="s">
        <v>9</v>
      </c>
      <c r="C12">
        <v>47156</v>
      </c>
      <c r="D12">
        <v>43133</v>
      </c>
      <c r="E12">
        <v>42097</v>
      </c>
      <c r="F12" s="4">
        <f t="shared" si="0"/>
        <v>0.12017483431123357</v>
      </c>
    </row>
    <row r="13" spans="1:16">
      <c r="A13" t="s">
        <v>12</v>
      </c>
      <c r="B13" t="s">
        <v>10</v>
      </c>
      <c r="C13">
        <v>46619</v>
      </c>
      <c r="D13">
        <v>39451</v>
      </c>
      <c r="E13">
        <v>39962</v>
      </c>
      <c r="F13" s="4">
        <f t="shared" si="0"/>
        <v>0.16658325409138683</v>
      </c>
    </row>
    <row r="14" spans="1:16">
      <c r="A14" t="s">
        <v>12</v>
      </c>
      <c r="B14" s="1" t="s">
        <v>11</v>
      </c>
      <c r="C14">
        <v>93775</v>
      </c>
      <c r="D14">
        <v>82584</v>
      </c>
      <c r="E14">
        <v>82059</v>
      </c>
      <c r="F14" s="4">
        <f t="shared" si="0"/>
        <v>0.14277532019644401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9947-BD63-AB46-B28C-BFC159F8123C}">
  <dimension ref="A1:L8"/>
  <sheetViews>
    <sheetView zoomScale="125" workbookViewId="0">
      <selection activeCell="B28" sqref="B28"/>
    </sheetView>
  </sheetViews>
  <sheetFormatPr baseColWidth="10" defaultRowHeight="16"/>
  <cols>
    <col min="1" max="1" width="23.5" bestFit="1" customWidth="1"/>
    <col min="8" max="8" width="26" bestFit="1" customWidth="1"/>
    <col min="12" max="12" width="18" bestFit="1" customWidth="1"/>
  </cols>
  <sheetData>
    <row r="1" spans="1:12">
      <c r="A1" t="s">
        <v>0</v>
      </c>
    </row>
    <row r="2" spans="1:12">
      <c r="A2" t="s">
        <v>1</v>
      </c>
      <c r="B2" t="s">
        <v>5</v>
      </c>
      <c r="C2" t="s">
        <v>6</v>
      </c>
      <c r="D2" t="s">
        <v>7</v>
      </c>
      <c r="E2" t="s">
        <v>8</v>
      </c>
      <c r="G2" t="s">
        <v>627</v>
      </c>
      <c r="H2" t="s">
        <v>630</v>
      </c>
      <c r="I2">
        <v>2021</v>
      </c>
      <c r="J2">
        <v>2020</v>
      </c>
      <c r="K2">
        <v>2019</v>
      </c>
      <c r="L2" t="s">
        <v>629</v>
      </c>
    </row>
    <row r="3" spans="1:12">
      <c r="A3" t="s">
        <v>621</v>
      </c>
      <c r="G3" t="s">
        <v>628</v>
      </c>
      <c r="H3" t="s">
        <v>9</v>
      </c>
      <c r="I3">
        <v>33700</v>
      </c>
      <c r="J3">
        <v>31200</v>
      </c>
      <c r="K3">
        <v>28600</v>
      </c>
      <c r="L3" s="4">
        <f>(I3-K3)/K3</f>
        <v>0.17832167832167833</v>
      </c>
    </row>
    <row r="4" spans="1:12">
      <c r="A4" t="s">
        <v>622</v>
      </c>
      <c r="H4" t="s">
        <v>10</v>
      </c>
      <c r="I4">
        <v>42400</v>
      </c>
      <c r="J4">
        <v>39700</v>
      </c>
      <c r="K4">
        <v>39100</v>
      </c>
      <c r="L4" s="4">
        <f>(I4-K4)/K4</f>
        <v>8.4398976982097182E-2</v>
      </c>
    </row>
    <row r="5" spans="1:12">
      <c r="A5" t="s">
        <v>623</v>
      </c>
      <c r="H5" s="1" t="s">
        <v>11</v>
      </c>
      <c r="I5">
        <f>I3+I4</f>
        <v>76100</v>
      </c>
      <c r="J5">
        <f>SUM(J3:J4)</f>
        <v>70900</v>
      </c>
      <c r="K5">
        <f>SUM(K3:K4)</f>
        <v>67700</v>
      </c>
      <c r="L5" s="4">
        <f>(I5-K5)/K5</f>
        <v>0.1240768094534712</v>
      </c>
    </row>
    <row r="6" spans="1:12">
      <c r="A6" t="s">
        <v>624</v>
      </c>
    </row>
    <row r="7" spans="1:12">
      <c r="A7" t="s">
        <v>625</v>
      </c>
    </row>
    <row r="8" spans="1:12">
      <c r="A8" t="s">
        <v>626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6152-1878-3242-BC74-35CF50E6BA69}">
  <dimension ref="A1:D730"/>
  <sheetViews>
    <sheetView workbookViewId="0">
      <selection activeCell="D3" sqref="C1:D3"/>
    </sheetView>
  </sheetViews>
  <sheetFormatPr baseColWidth="10" defaultRowHeight="16"/>
  <cols>
    <col min="3" max="3" width="32.83203125" bestFit="1" customWidth="1"/>
  </cols>
  <sheetData>
    <row r="1" spans="1:4">
      <c r="A1" s="2" t="s">
        <v>16</v>
      </c>
      <c r="B1" s="2" t="s">
        <v>177</v>
      </c>
      <c r="C1" t="s">
        <v>175</v>
      </c>
      <c r="D1">
        <f>278/2</f>
        <v>139</v>
      </c>
    </row>
    <row r="2" spans="1:4">
      <c r="A2" s="2" t="s">
        <v>17</v>
      </c>
      <c r="B2" s="2" t="s">
        <v>178</v>
      </c>
      <c r="C2" t="s">
        <v>176</v>
      </c>
      <c r="D2">
        <f>730/2</f>
        <v>365</v>
      </c>
    </row>
    <row r="3" spans="1:4">
      <c r="A3" s="2" t="s">
        <v>18</v>
      </c>
      <c r="B3" s="2" t="s">
        <v>179</v>
      </c>
      <c r="C3" t="s">
        <v>618</v>
      </c>
      <c r="D3">
        <f>D1+D2</f>
        <v>504</v>
      </c>
    </row>
    <row r="4" spans="1:4">
      <c r="A4" s="2" t="s">
        <v>17</v>
      </c>
      <c r="B4" s="2" t="s">
        <v>180</v>
      </c>
    </row>
    <row r="5" spans="1:4">
      <c r="A5" s="2" t="s">
        <v>19</v>
      </c>
      <c r="B5" s="2" t="s">
        <v>181</v>
      </c>
    </row>
    <row r="6" spans="1:4">
      <c r="A6" s="2" t="s">
        <v>17</v>
      </c>
      <c r="B6" s="2" t="s">
        <v>180</v>
      </c>
    </row>
    <row r="7" spans="1:4">
      <c r="A7" s="2" t="s">
        <v>20</v>
      </c>
      <c r="B7" s="2" t="s">
        <v>182</v>
      </c>
    </row>
    <row r="8" spans="1:4">
      <c r="A8" s="2" t="s">
        <v>21</v>
      </c>
      <c r="B8" s="2" t="s">
        <v>183</v>
      </c>
    </row>
    <row r="9" spans="1:4">
      <c r="A9" s="2" t="s">
        <v>22</v>
      </c>
      <c r="B9" s="2" t="s">
        <v>184</v>
      </c>
    </row>
    <row r="10" spans="1:4">
      <c r="A10" s="2" t="s">
        <v>17</v>
      </c>
      <c r="B10" s="2" t="s">
        <v>185</v>
      </c>
    </row>
    <row r="11" spans="1:4">
      <c r="A11" s="2" t="s">
        <v>23</v>
      </c>
      <c r="B11" s="2" t="s">
        <v>186</v>
      </c>
    </row>
    <row r="12" spans="1:4">
      <c r="A12" s="2" t="s">
        <v>17</v>
      </c>
      <c r="B12" s="2" t="s">
        <v>183</v>
      </c>
    </row>
    <row r="13" spans="1:4">
      <c r="A13" s="2" t="s">
        <v>24</v>
      </c>
      <c r="B13" s="2" t="s">
        <v>187</v>
      </c>
    </row>
    <row r="14" spans="1:4">
      <c r="A14" s="2" t="s">
        <v>17</v>
      </c>
      <c r="B14" s="2" t="s">
        <v>183</v>
      </c>
    </row>
    <row r="15" spans="1:4">
      <c r="A15" s="2" t="s">
        <v>25</v>
      </c>
      <c r="B15" s="2" t="s">
        <v>188</v>
      </c>
    </row>
    <row r="16" spans="1:4">
      <c r="A16" s="2" t="s">
        <v>17</v>
      </c>
      <c r="B16" s="2" t="s">
        <v>183</v>
      </c>
    </row>
    <row r="17" spans="1:2">
      <c r="A17" s="2" t="s">
        <v>26</v>
      </c>
      <c r="B17" s="2" t="s">
        <v>189</v>
      </c>
    </row>
    <row r="18" spans="1:2">
      <c r="A18" s="2" t="s">
        <v>17</v>
      </c>
      <c r="B18" s="2" t="s">
        <v>183</v>
      </c>
    </row>
    <row r="19" spans="1:2">
      <c r="A19" s="2" t="s">
        <v>27</v>
      </c>
      <c r="B19" s="2" t="s">
        <v>190</v>
      </c>
    </row>
    <row r="20" spans="1:2">
      <c r="A20" s="2" t="s">
        <v>17</v>
      </c>
      <c r="B20" s="2" t="s">
        <v>191</v>
      </c>
    </row>
    <row r="21" spans="1:2">
      <c r="A21" s="2" t="s">
        <v>28</v>
      </c>
      <c r="B21" s="2" t="s">
        <v>192</v>
      </c>
    </row>
    <row r="22" spans="1:2">
      <c r="A22" s="2" t="s">
        <v>17</v>
      </c>
      <c r="B22" s="2" t="s">
        <v>193</v>
      </c>
    </row>
    <row r="23" spans="1:2">
      <c r="A23" s="2" t="s">
        <v>29</v>
      </c>
      <c r="B23" s="2" t="s">
        <v>194</v>
      </c>
    </row>
    <row r="24" spans="1:2">
      <c r="A24" s="2" t="s">
        <v>17</v>
      </c>
      <c r="B24" s="2" t="s">
        <v>195</v>
      </c>
    </row>
    <row r="25" spans="1:2">
      <c r="A25" s="2" t="s">
        <v>30</v>
      </c>
      <c r="B25" s="2" t="s">
        <v>196</v>
      </c>
    </row>
    <row r="26" spans="1:2">
      <c r="A26" s="2" t="s">
        <v>17</v>
      </c>
      <c r="B26" s="2" t="s">
        <v>197</v>
      </c>
    </row>
    <row r="27" spans="1:2">
      <c r="A27" s="2" t="s">
        <v>31</v>
      </c>
      <c r="B27" s="2" t="s">
        <v>198</v>
      </c>
    </row>
    <row r="28" spans="1:2">
      <c r="A28" s="2" t="s">
        <v>17</v>
      </c>
      <c r="B28" s="2" t="s">
        <v>199</v>
      </c>
    </row>
    <row r="29" spans="1:2">
      <c r="A29" s="2" t="s">
        <v>32</v>
      </c>
      <c r="B29" s="2" t="s">
        <v>200</v>
      </c>
    </row>
    <row r="30" spans="1:2">
      <c r="A30" s="2" t="s">
        <v>17</v>
      </c>
      <c r="B30" s="2" t="s">
        <v>201</v>
      </c>
    </row>
    <row r="31" spans="1:2">
      <c r="A31" s="2" t="s">
        <v>33</v>
      </c>
      <c r="B31" s="2" t="s">
        <v>202</v>
      </c>
    </row>
    <row r="32" spans="1:2">
      <c r="A32" s="2" t="s">
        <v>17</v>
      </c>
      <c r="B32" s="2" t="s">
        <v>178</v>
      </c>
    </row>
    <row r="33" spans="1:2">
      <c r="A33" s="2" t="s">
        <v>34</v>
      </c>
      <c r="B33" s="2" t="s">
        <v>203</v>
      </c>
    </row>
    <row r="34" spans="1:2">
      <c r="A34" s="2" t="s">
        <v>17</v>
      </c>
      <c r="B34" s="2" t="s">
        <v>204</v>
      </c>
    </row>
    <row r="35" spans="1:2">
      <c r="A35" s="2" t="s">
        <v>35</v>
      </c>
      <c r="B35" s="2" t="s">
        <v>205</v>
      </c>
    </row>
    <row r="36" spans="1:2">
      <c r="A36" s="2" t="s">
        <v>17</v>
      </c>
      <c r="B36" s="2" t="s">
        <v>206</v>
      </c>
    </row>
    <row r="37" spans="1:2">
      <c r="A37" s="2" t="s">
        <v>36</v>
      </c>
      <c r="B37" s="2" t="s">
        <v>207</v>
      </c>
    </row>
    <row r="38" spans="1:2">
      <c r="A38" s="2" t="s">
        <v>21</v>
      </c>
      <c r="B38" s="2" t="s">
        <v>208</v>
      </c>
    </row>
    <row r="39" spans="1:2">
      <c r="A39" s="2" t="s">
        <v>37</v>
      </c>
      <c r="B39" s="2" t="s">
        <v>209</v>
      </c>
    </row>
    <row r="40" spans="1:2">
      <c r="A40" s="2" t="s">
        <v>38</v>
      </c>
      <c r="B40" s="2" t="s">
        <v>185</v>
      </c>
    </row>
    <row r="41" spans="1:2">
      <c r="A41" s="2" t="s">
        <v>39</v>
      </c>
      <c r="B41" s="2" t="s">
        <v>210</v>
      </c>
    </row>
    <row r="42" spans="1:2">
      <c r="A42" s="2" t="s">
        <v>17</v>
      </c>
      <c r="B42" s="2" t="s">
        <v>211</v>
      </c>
    </row>
    <row r="43" spans="1:2">
      <c r="A43" s="2" t="s">
        <v>40</v>
      </c>
      <c r="B43" s="2" t="s">
        <v>212</v>
      </c>
    </row>
    <row r="44" spans="1:2">
      <c r="A44" s="2" t="s">
        <v>17</v>
      </c>
      <c r="B44" s="2" t="s">
        <v>185</v>
      </c>
    </row>
    <row r="45" spans="1:2">
      <c r="A45" s="2" t="s">
        <v>41</v>
      </c>
      <c r="B45" s="2" t="s">
        <v>213</v>
      </c>
    </row>
    <row r="46" spans="1:2">
      <c r="A46" s="2" t="s">
        <v>17</v>
      </c>
      <c r="B46" s="2" t="s">
        <v>214</v>
      </c>
    </row>
    <row r="47" spans="1:2">
      <c r="A47" s="2" t="s">
        <v>42</v>
      </c>
      <c r="B47" s="2" t="s">
        <v>215</v>
      </c>
    </row>
    <row r="48" spans="1:2">
      <c r="A48" s="2" t="s">
        <v>43</v>
      </c>
      <c r="B48" s="2" t="s">
        <v>216</v>
      </c>
    </row>
    <row r="49" spans="1:2">
      <c r="A49" s="2" t="s">
        <v>44</v>
      </c>
      <c r="B49" s="2" t="s">
        <v>217</v>
      </c>
    </row>
    <row r="50" spans="1:2">
      <c r="A50" s="2" t="s">
        <v>38</v>
      </c>
      <c r="B50" s="2" t="s">
        <v>208</v>
      </c>
    </row>
    <row r="51" spans="1:2">
      <c r="A51" s="2" t="s">
        <v>45</v>
      </c>
      <c r="B51" s="2" t="s">
        <v>218</v>
      </c>
    </row>
    <row r="52" spans="1:2">
      <c r="A52" s="2" t="s">
        <v>17</v>
      </c>
      <c r="B52" s="2" t="s">
        <v>219</v>
      </c>
    </row>
    <row r="53" spans="1:2">
      <c r="A53" s="2" t="s">
        <v>46</v>
      </c>
      <c r="B53" s="2" t="s">
        <v>220</v>
      </c>
    </row>
    <row r="54" spans="1:2">
      <c r="A54" s="2" t="s">
        <v>47</v>
      </c>
      <c r="B54" s="2" t="s">
        <v>211</v>
      </c>
    </row>
    <row r="55" spans="1:2">
      <c r="A55" s="2" t="s">
        <v>48</v>
      </c>
      <c r="B55" s="2" t="s">
        <v>221</v>
      </c>
    </row>
    <row r="56" spans="1:2">
      <c r="A56" s="2" t="s">
        <v>47</v>
      </c>
      <c r="B56" s="2" t="s">
        <v>222</v>
      </c>
    </row>
    <row r="57" spans="1:2">
      <c r="A57" s="2" t="s">
        <v>49</v>
      </c>
      <c r="B57" s="2" t="s">
        <v>223</v>
      </c>
    </row>
    <row r="58" spans="1:2">
      <c r="A58" s="2" t="s">
        <v>21</v>
      </c>
      <c r="B58" s="2" t="s">
        <v>180</v>
      </c>
    </row>
    <row r="59" spans="1:2">
      <c r="A59" s="2" t="s">
        <v>50</v>
      </c>
      <c r="B59" s="2" t="s">
        <v>224</v>
      </c>
    </row>
    <row r="60" spans="1:2">
      <c r="A60" s="2" t="s">
        <v>51</v>
      </c>
      <c r="B60" s="2" t="s">
        <v>225</v>
      </c>
    </row>
    <row r="61" spans="1:2">
      <c r="A61" s="2" t="s">
        <v>52</v>
      </c>
      <c r="B61" s="2" t="s">
        <v>226</v>
      </c>
    </row>
    <row r="62" spans="1:2">
      <c r="A62" s="2" t="s">
        <v>17</v>
      </c>
      <c r="B62" s="2" t="s">
        <v>227</v>
      </c>
    </row>
    <row r="63" spans="1:2">
      <c r="A63" s="2" t="s">
        <v>53</v>
      </c>
      <c r="B63" s="2" t="s">
        <v>228</v>
      </c>
    </row>
    <row r="64" spans="1:2">
      <c r="A64" s="2" t="s">
        <v>21</v>
      </c>
      <c r="B64" s="2" t="s">
        <v>204</v>
      </c>
    </row>
    <row r="65" spans="1:2">
      <c r="A65" s="2" t="s">
        <v>54</v>
      </c>
      <c r="B65" s="2" t="s">
        <v>229</v>
      </c>
    </row>
    <row r="66" spans="1:2">
      <c r="A66" s="2" t="s">
        <v>17</v>
      </c>
      <c r="B66" s="2" t="s">
        <v>227</v>
      </c>
    </row>
    <row r="67" spans="1:2">
      <c r="A67" s="2" t="s">
        <v>55</v>
      </c>
      <c r="B67" s="2" t="s">
        <v>230</v>
      </c>
    </row>
    <row r="68" spans="1:2">
      <c r="A68" s="2" t="s">
        <v>17</v>
      </c>
      <c r="B68" s="2" t="s">
        <v>227</v>
      </c>
    </row>
    <row r="69" spans="1:2">
      <c r="A69" s="2" t="s">
        <v>56</v>
      </c>
      <c r="B69" s="2" t="s">
        <v>231</v>
      </c>
    </row>
    <row r="70" spans="1:2">
      <c r="A70" s="2" t="s">
        <v>57</v>
      </c>
      <c r="B70" s="2" t="s">
        <v>183</v>
      </c>
    </row>
    <row r="71" spans="1:2">
      <c r="A71" s="2" t="s">
        <v>58</v>
      </c>
      <c r="B71" s="2" t="s">
        <v>232</v>
      </c>
    </row>
    <row r="72" spans="1:2">
      <c r="A72" s="2" t="s">
        <v>59</v>
      </c>
      <c r="B72" s="2" t="s">
        <v>208</v>
      </c>
    </row>
    <row r="73" spans="1:2">
      <c r="A73" s="2" t="s">
        <v>60</v>
      </c>
      <c r="B73" s="2" t="s">
        <v>233</v>
      </c>
    </row>
    <row r="74" spans="1:2">
      <c r="A74" s="2" t="s">
        <v>61</v>
      </c>
      <c r="B74" s="2" t="s">
        <v>234</v>
      </c>
    </row>
    <row r="75" spans="1:2">
      <c r="A75" s="2" t="s">
        <v>62</v>
      </c>
      <c r="B75" s="2" t="s">
        <v>235</v>
      </c>
    </row>
    <row r="76" spans="1:2">
      <c r="A76" s="2" t="s">
        <v>61</v>
      </c>
      <c r="B76" s="2" t="s">
        <v>236</v>
      </c>
    </row>
    <row r="77" spans="1:2">
      <c r="A77" s="2" t="s">
        <v>63</v>
      </c>
      <c r="B77" s="2" t="s">
        <v>237</v>
      </c>
    </row>
    <row r="78" spans="1:2">
      <c r="A78" s="2" t="s">
        <v>64</v>
      </c>
      <c r="B78" s="2" t="s">
        <v>178</v>
      </c>
    </row>
    <row r="79" spans="1:2">
      <c r="A79" s="2" t="s">
        <v>65</v>
      </c>
      <c r="B79" s="2" t="s">
        <v>238</v>
      </c>
    </row>
    <row r="80" spans="1:2">
      <c r="A80" s="2" t="s">
        <v>17</v>
      </c>
      <c r="B80" s="2" t="s">
        <v>180</v>
      </c>
    </row>
    <row r="81" spans="1:2">
      <c r="A81" s="2" t="s">
        <v>66</v>
      </c>
      <c r="B81" s="2" t="s">
        <v>239</v>
      </c>
    </row>
    <row r="82" spans="1:2">
      <c r="A82" s="2" t="s">
        <v>17</v>
      </c>
      <c r="B82" s="2" t="s">
        <v>214</v>
      </c>
    </row>
    <row r="83" spans="1:2">
      <c r="A83" s="2" t="s">
        <v>67</v>
      </c>
      <c r="B83" s="2" t="s">
        <v>240</v>
      </c>
    </row>
    <row r="84" spans="1:2">
      <c r="A84" s="2" t="s">
        <v>59</v>
      </c>
      <c r="B84" s="2" t="s">
        <v>208</v>
      </c>
    </row>
    <row r="85" spans="1:2">
      <c r="A85" s="2" t="s">
        <v>68</v>
      </c>
      <c r="B85" s="2" t="s">
        <v>241</v>
      </c>
    </row>
    <row r="86" spans="1:2">
      <c r="A86" s="2" t="s">
        <v>17</v>
      </c>
      <c r="B86" s="2" t="s">
        <v>216</v>
      </c>
    </row>
    <row r="87" spans="1:2">
      <c r="A87" s="2" t="s">
        <v>69</v>
      </c>
      <c r="B87" s="2" t="s">
        <v>242</v>
      </c>
    </row>
    <row r="88" spans="1:2">
      <c r="A88" s="2" t="s">
        <v>17</v>
      </c>
      <c r="B88" s="2" t="s">
        <v>216</v>
      </c>
    </row>
    <row r="89" spans="1:2">
      <c r="A89" s="2" t="s">
        <v>70</v>
      </c>
      <c r="B89" s="2" t="s">
        <v>243</v>
      </c>
    </row>
    <row r="90" spans="1:2">
      <c r="A90" s="2" t="s">
        <v>17</v>
      </c>
      <c r="B90" s="2" t="s">
        <v>180</v>
      </c>
    </row>
    <row r="91" spans="1:2">
      <c r="A91" s="2" t="s">
        <v>71</v>
      </c>
      <c r="B91" s="2" t="s">
        <v>244</v>
      </c>
    </row>
    <row r="92" spans="1:2">
      <c r="A92" s="2" t="s">
        <v>64</v>
      </c>
      <c r="B92" s="2" t="s">
        <v>180</v>
      </c>
    </row>
    <row r="93" spans="1:2">
      <c r="A93" s="2" t="s">
        <v>72</v>
      </c>
      <c r="B93" s="2" t="s">
        <v>245</v>
      </c>
    </row>
    <row r="94" spans="1:2">
      <c r="A94" s="2" t="s">
        <v>73</v>
      </c>
      <c r="B94" s="2" t="s">
        <v>180</v>
      </c>
    </row>
    <row r="95" spans="1:2">
      <c r="A95" s="2" t="s">
        <v>74</v>
      </c>
      <c r="B95" s="2" t="s">
        <v>246</v>
      </c>
    </row>
    <row r="96" spans="1:2">
      <c r="A96" s="2" t="s">
        <v>17</v>
      </c>
      <c r="B96" s="2" t="s">
        <v>185</v>
      </c>
    </row>
    <row r="97" spans="1:2">
      <c r="A97" s="2" t="s">
        <v>75</v>
      </c>
      <c r="B97" s="2" t="s">
        <v>247</v>
      </c>
    </row>
    <row r="98" spans="1:2">
      <c r="A98" s="2" t="s">
        <v>43</v>
      </c>
      <c r="B98" s="2" t="s">
        <v>248</v>
      </c>
    </row>
    <row r="99" spans="1:2">
      <c r="A99" s="2" t="s">
        <v>76</v>
      </c>
      <c r="B99" s="2" t="s">
        <v>249</v>
      </c>
    </row>
    <row r="100" spans="1:2">
      <c r="A100" s="2" t="s">
        <v>21</v>
      </c>
      <c r="B100" s="2" t="s">
        <v>234</v>
      </c>
    </row>
    <row r="101" spans="1:2">
      <c r="A101" s="2" t="s">
        <v>77</v>
      </c>
      <c r="B101" s="2" t="s">
        <v>250</v>
      </c>
    </row>
    <row r="102" spans="1:2">
      <c r="A102" s="2" t="s">
        <v>17</v>
      </c>
      <c r="B102" s="2" t="s">
        <v>251</v>
      </c>
    </row>
    <row r="103" spans="1:2">
      <c r="A103" s="2" t="s">
        <v>78</v>
      </c>
      <c r="B103" s="2" t="s">
        <v>252</v>
      </c>
    </row>
    <row r="104" spans="1:2">
      <c r="A104" s="2" t="s">
        <v>17</v>
      </c>
      <c r="B104" s="2" t="s">
        <v>206</v>
      </c>
    </row>
    <row r="105" spans="1:2">
      <c r="A105" s="2" t="s">
        <v>79</v>
      </c>
      <c r="B105" s="2" t="s">
        <v>253</v>
      </c>
    </row>
    <row r="106" spans="1:2">
      <c r="A106" s="2" t="s">
        <v>17</v>
      </c>
      <c r="B106" s="2" t="s">
        <v>254</v>
      </c>
    </row>
    <row r="107" spans="1:2">
      <c r="A107" s="2" t="s">
        <v>80</v>
      </c>
      <c r="B107" s="2" t="s">
        <v>255</v>
      </c>
    </row>
    <row r="108" spans="1:2">
      <c r="A108" s="2" t="s">
        <v>21</v>
      </c>
      <c r="B108" s="2" t="s">
        <v>256</v>
      </c>
    </row>
    <row r="109" spans="1:2">
      <c r="A109" s="2" t="s">
        <v>81</v>
      </c>
      <c r="B109" s="2" t="s">
        <v>257</v>
      </c>
    </row>
    <row r="110" spans="1:2">
      <c r="A110" s="2" t="s">
        <v>82</v>
      </c>
      <c r="B110" s="2" t="s">
        <v>225</v>
      </c>
    </row>
    <row r="111" spans="1:2">
      <c r="A111" s="2" t="s">
        <v>83</v>
      </c>
      <c r="B111" s="2" t="s">
        <v>258</v>
      </c>
    </row>
    <row r="112" spans="1:2">
      <c r="A112" s="2" t="s">
        <v>17</v>
      </c>
      <c r="B112" s="2" t="s">
        <v>185</v>
      </c>
    </row>
    <row r="113" spans="1:2">
      <c r="A113" s="2" t="s">
        <v>84</v>
      </c>
      <c r="B113" s="2" t="s">
        <v>259</v>
      </c>
    </row>
    <row r="114" spans="1:2">
      <c r="A114" s="2" t="s">
        <v>47</v>
      </c>
      <c r="B114" s="2" t="s">
        <v>251</v>
      </c>
    </row>
    <row r="115" spans="1:2">
      <c r="A115" s="2" t="s">
        <v>85</v>
      </c>
      <c r="B115" s="2" t="s">
        <v>260</v>
      </c>
    </row>
    <row r="116" spans="1:2">
      <c r="A116" s="2" t="s">
        <v>17</v>
      </c>
      <c r="B116" s="2" t="s">
        <v>185</v>
      </c>
    </row>
    <row r="117" spans="1:2">
      <c r="A117" s="2" t="s">
        <v>86</v>
      </c>
      <c r="B117" s="2" t="s">
        <v>261</v>
      </c>
    </row>
    <row r="118" spans="1:2">
      <c r="A118" s="2" t="s">
        <v>21</v>
      </c>
      <c r="B118" s="2" t="s">
        <v>262</v>
      </c>
    </row>
    <row r="119" spans="1:2">
      <c r="A119" s="2" t="s">
        <v>87</v>
      </c>
      <c r="B119" s="2" t="s">
        <v>263</v>
      </c>
    </row>
    <row r="120" spans="1:2">
      <c r="A120" s="2" t="s">
        <v>17</v>
      </c>
      <c r="B120" s="2" t="s">
        <v>251</v>
      </c>
    </row>
    <row r="121" spans="1:2">
      <c r="A121" s="2" t="s">
        <v>88</v>
      </c>
      <c r="B121" s="2" t="s">
        <v>264</v>
      </c>
    </row>
    <row r="122" spans="1:2">
      <c r="A122" s="2" t="s">
        <v>17</v>
      </c>
      <c r="B122" s="2" t="s">
        <v>251</v>
      </c>
    </row>
    <row r="123" spans="1:2">
      <c r="A123" s="2" t="s">
        <v>89</v>
      </c>
      <c r="B123" s="2" t="s">
        <v>265</v>
      </c>
    </row>
    <row r="124" spans="1:2">
      <c r="A124" s="2" t="s">
        <v>47</v>
      </c>
      <c r="B124" s="2" t="s">
        <v>206</v>
      </c>
    </row>
    <row r="125" spans="1:2">
      <c r="A125" s="2" t="s">
        <v>90</v>
      </c>
      <c r="B125" s="2" t="s">
        <v>266</v>
      </c>
    </row>
    <row r="126" spans="1:2">
      <c r="A126" s="2" t="s">
        <v>21</v>
      </c>
      <c r="B126" s="2" t="s">
        <v>206</v>
      </c>
    </row>
    <row r="127" spans="1:2">
      <c r="A127" s="2" t="s">
        <v>91</v>
      </c>
      <c r="B127" s="2" t="s">
        <v>267</v>
      </c>
    </row>
    <row r="128" spans="1:2">
      <c r="A128" s="2" t="s">
        <v>21</v>
      </c>
      <c r="B128" s="2" t="s">
        <v>185</v>
      </c>
    </row>
    <row r="129" spans="1:2">
      <c r="A129" s="2" t="s">
        <v>92</v>
      </c>
      <c r="B129" s="2" t="s">
        <v>268</v>
      </c>
    </row>
    <row r="130" spans="1:2">
      <c r="A130" s="2" t="s">
        <v>21</v>
      </c>
      <c r="B130" s="2" t="s">
        <v>180</v>
      </c>
    </row>
    <row r="131" spans="1:2">
      <c r="A131" s="2" t="s">
        <v>93</v>
      </c>
      <c r="B131" s="2" t="s">
        <v>269</v>
      </c>
    </row>
    <row r="132" spans="1:2">
      <c r="A132" s="2" t="s">
        <v>47</v>
      </c>
      <c r="B132" s="2" t="s">
        <v>180</v>
      </c>
    </row>
    <row r="133" spans="1:2">
      <c r="A133" s="2" t="s">
        <v>94</v>
      </c>
      <c r="B133" s="2" t="s">
        <v>270</v>
      </c>
    </row>
    <row r="134" spans="1:2">
      <c r="A134" s="2" t="s">
        <v>17</v>
      </c>
      <c r="B134" s="2" t="s">
        <v>271</v>
      </c>
    </row>
    <row r="135" spans="1:2">
      <c r="A135" s="2" t="s">
        <v>95</v>
      </c>
      <c r="B135" s="2" t="s">
        <v>272</v>
      </c>
    </row>
    <row r="136" spans="1:2">
      <c r="A136" s="2" t="s">
        <v>21</v>
      </c>
      <c r="B136" s="2" t="s">
        <v>273</v>
      </c>
    </row>
    <row r="137" spans="1:2">
      <c r="A137" s="2" t="s">
        <v>96</v>
      </c>
      <c r="B137" s="2" t="s">
        <v>274</v>
      </c>
    </row>
    <row r="138" spans="1:2">
      <c r="A138" s="2" t="s">
        <v>17</v>
      </c>
      <c r="B138" s="2" t="s">
        <v>275</v>
      </c>
    </row>
    <row r="139" spans="1:2">
      <c r="A139" s="2" t="s">
        <v>97</v>
      </c>
      <c r="B139" s="2" t="s">
        <v>276</v>
      </c>
    </row>
    <row r="140" spans="1:2">
      <c r="A140" s="2" t="s">
        <v>17</v>
      </c>
      <c r="B140" s="2" t="s">
        <v>277</v>
      </c>
    </row>
    <row r="141" spans="1:2">
      <c r="A141" s="2" t="s">
        <v>98</v>
      </c>
      <c r="B141" s="2" t="s">
        <v>225</v>
      </c>
    </row>
    <row r="142" spans="1:2">
      <c r="A142" s="2" t="s">
        <v>21</v>
      </c>
      <c r="B142" s="2" t="s">
        <v>278</v>
      </c>
    </row>
    <row r="143" spans="1:2">
      <c r="A143" s="2" t="s">
        <v>99</v>
      </c>
      <c r="B143" s="2" t="s">
        <v>225</v>
      </c>
    </row>
    <row r="144" spans="1:2">
      <c r="A144" s="2" t="s">
        <v>21</v>
      </c>
      <c r="B144" s="2" t="s">
        <v>279</v>
      </c>
    </row>
    <row r="145" spans="1:2">
      <c r="A145" s="2" t="s">
        <v>100</v>
      </c>
      <c r="B145" s="2" t="s">
        <v>225</v>
      </c>
    </row>
    <row r="146" spans="1:2">
      <c r="A146" s="2" t="s">
        <v>21</v>
      </c>
      <c r="B146" s="2" t="s">
        <v>280</v>
      </c>
    </row>
    <row r="147" spans="1:2">
      <c r="A147" s="2" t="s">
        <v>101</v>
      </c>
      <c r="B147" s="2" t="s">
        <v>225</v>
      </c>
    </row>
    <row r="148" spans="1:2">
      <c r="A148" s="2" t="s">
        <v>17</v>
      </c>
      <c r="B148" s="2" t="s">
        <v>281</v>
      </c>
    </row>
    <row r="149" spans="1:2">
      <c r="A149" s="2" t="s">
        <v>102</v>
      </c>
      <c r="B149" s="2" t="s">
        <v>225</v>
      </c>
    </row>
    <row r="150" spans="1:2">
      <c r="A150" s="2" t="s">
        <v>21</v>
      </c>
      <c r="B150" s="2" t="s">
        <v>282</v>
      </c>
    </row>
    <row r="151" spans="1:2">
      <c r="A151" s="2" t="s">
        <v>103</v>
      </c>
      <c r="B151" s="2" t="s">
        <v>180</v>
      </c>
    </row>
    <row r="152" spans="1:2">
      <c r="A152" s="2" t="s">
        <v>21</v>
      </c>
      <c r="B152" s="2" t="s">
        <v>283</v>
      </c>
    </row>
    <row r="153" spans="1:2">
      <c r="A153" s="2" t="s">
        <v>104</v>
      </c>
      <c r="B153" s="2" t="s">
        <v>185</v>
      </c>
    </row>
    <row r="154" spans="1:2">
      <c r="A154" s="2" t="s">
        <v>82</v>
      </c>
      <c r="B154" s="2" t="s">
        <v>284</v>
      </c>
    </row>
    <row r="155" spans="1:2">
      <c r="A155" s="2" t="s">
        <v>105</v>
      </c>
      <c r="B155" s="2" t="s">
        <v>208</v>
      </c>
    </row>
    <row r="156" spans="1:2">
      <c r="A156" s="2" t="s">
        <v>21</v>
      </c>
      <c r="B156" s="2" t="s">
        <v>285</v>
      </c>
    </row>
    <row r="157" spans="1:2">
      <c r="A157" s="2" t="s">
        <v>106</v>
      </c>
      <c r="B157" s="2" t="s">
        <v>286</v>
      </c>
    </row>
    <row r="158" spans="1:2">
      <c r="A158" s="2" t="s">
        <v>21</v>
      </c>
      <c r="B158" s="2" t="s">
        <v>287</v>
      </c>
    </row>
    <row r="159" spans="1:2">
      <c r="A159" s="2" t="s">
        <v>107</v>
      </c>
      <c r="B159" s="2" t="s">
        <v>288</v>
      </c>
    </row>
    <row r="160" spans="1:2">
      <c r="A160" s="2" t="s">
        <v>17</v>
      </c>
      <c r="B160" s="2" t="s">
        <v>289</v>
      </c>
    </row>
    <row r="161" spans="1:2">
      <c r="A161" s="2" t="s">
        <v>108</v>
      </c>
      <c r="B161" s="2" t="s">
        <v>183</v>
      </c>
    </row>
    <row r="162" spans="1:2">
      <c r="A162" s="2" t="s">
        <v>21</v>
      </c>
      <c r="B162" s="2" t="s">
        <v>290</v>
      </c>
    </row>
    <row r="163" spans="1:2">
      <c r="A163" s="2" t="s">
        <v>109</v>
      </c>
      <c r="B163" s="2" t="s">
        <v>206</v>
      </c>
    </row>
    <row r="164" spans="1:2">
      <c r="A164" s="2" t="s">
        <v>110</v>
      </c>
      <c r="B164" s="2" t="s">
        <v>291</v>
      </c>
    </row>
    <row r="165" spans="1:2">
      <c r="A165" s="2" t="s">
        <v>111</v>
      </c>
      <c r="B165" s="2" t="s">
        <v>225</v>
      </c>
    </row>
    <row r="166" spans="1:2">
      <c r="A166" s="2" t="s">
        <v>21</v>
      </c>
      <c r="B166" s="2" t="s">
        <v>292</v>
      </c>
    </row>
    <row r="167" spans="1:2">
      <c r="A167" s="2" t="s">
        <v>112</v>
      </c>
      <c r="B167" s="2" t="s">
        <v>183</v>
      </c>
    </row>
    <row r="168" spans="1:2">
      <c r="A168" s="2" t="s">
        <v>21</v>
      </c>
      <c r="B168" s="2" t="s">
        <v>293</v>
      </c>
    </row>
    <row r="169" spans="1:2">
      <c r="A169" s="2" t="s">
        <v>113</v>
      </c>
      <c r="B169" s="2" t="s">
        <v>206</v>
      </c>
    </row>
    <row r="170" spans="1:2">
      <c r="A170" s="2" t="s">
        <v>17</v>
      </c>
      <c r="B170" s="2" t="s">
        <v>294</v>
      </c>
    </row>
    <row r="171" spans="1:2">
      <c r="A171" s="2" t="s">
        <v>114</v>
      </c>
      <c r="B171" s="2" t="s">
        <v>295</v>
      </c>
    </row>
    <row r="172" spans="1:2">
      <c r="A172" s="2" t="s">
        <v>21</v>
      </c>
      <c r="B172" s="2" t="s">
        <v>296</v>
      </c>
    </row>
    <row r="173" spans="1:2">
      <c r="A173" s="2" t="s">
        <v>115</v>
      </c>
      <c r="B173" s="2" t="s">
        <v>225</v>
      </c>
    </row>
    <row r="174" spans="1:2">
      <c r="A174" s="2" t="s">
        <v>110</v>
      </c>
      <c r="B174" s="2" t="s">
        <v>297</v>
      </c>
    </row>
    <row r="175" spans="1:2">
      <c r="A175" s="2" t="s">
        <v>116</v>
      </c>
      <c r="B175" s="2" t="s">
        <v>286</v>
      </c>
    </row>
    <row r="176" spans="1:2">
      <c r="A176" s="2" t="s">
        <v>17</v>
      </c>
      <c r="B176" s="2" t="s">
        <v>298</v>
      </c>
    </row>
    <row r="177" spans="1:2">
      <c r="A177" s="2" t="s">
        <v>117</v>
      </c>
      <c r="B177" s="2" t="s">
        <v>185</v>
      </c>
    </row>
    <row r="178" spans="1:2">
      <c r="A178" s="2" t="s">
        <v>118</v>
      </c>
      <c r="B178" s="2" t="s">
        <v>299</v>
      </c>
    </row>
    <row r="179" spans="1:2">
      <c r="A179" s="2" t="s">
        <v>119</v>
      </c>
      <c r="B179" s="2" t="s">
        <v>185</v>
      </c>
    </row>
    <row r="180" spans="1:2">
      <c r="A180" s="2" t="s">
        <v>21</v>
      </c>
      <c r="B180" s="2" t="s">
        <v>300</v>
      </c>
    </row>
    <row r="181" spans="1:2">
      <c r="A181" s="2" t="s">
        <v>120</v>
      </c>
      <c r="B181" s="2" t="s">
        <v>208</v>
      </c>
    </row>
    <row r="182" spans="1:2">
      <c r="A182" s="2" t="s">
        <v>17</v>
      </c>
      <c r="B182" s="2" t="s">
        <v>301</v>
      </c>
    </row>
    <row r="183" spans="1:2">
      <c r="A183" s="2" t="s">
        <v>121</v>
      </c>
      <c r="B183" s="2" t="s">
        <v>302</v>
      </c>
    </row>
    <row r="184" spans="1:2">
      <c r="A184" s="2" t="s">
        <v>17</v>
      </c>
      <c r="B184" s="2" t="s">
        <v>303</v>
      </c>
    </row>
    <row r="185" spans="1:2">
      <c r="A185" s="2" t="s">
        <v>122</v>
      </c>
      <c r="B185" s="2" t="s">
        <v>214</v>
      </c>
    </row>
    <row r="186" spans="1:2">
      <c r="A186" s="2" t="s">
        <v>21</v>
      </c>
      <c r="B186" s="2" t="s">
        <v>304</v>
      </c>
    </row>
    <row r="187" spans="1:2">
      <c r="A187" s="2" t="s">
        <v>123</v>
      </c>
      <c r="B187" s="2" t="s">
        <v>305</v>
      </c>
    </row>
    <row r="188" spans="1:2">
      <c r="A188" s="2" t="s">
        <v>17</v>
      </c>
      <c r="B188" s="2" t="s">
        <v>306</v>
      </c>
    </row>
    <row r="189" spans="1:2">
      <c r="A189" s="2" t="s">
        <v>124</v>
      </c>
      <c r="B189" s="2" t="s">
        <v>275</v>
      </c>
    </row>
    <row r="190" spans="1:2">
      <c r="A190" s="2" t="s">
        <v>61</v>
      </c>
      <c r="B190" s="2" t="s">
        <v>276</v>
      </c>
    </row>
    <row r="191" spans="1:2">
      <c r="A191" s="2" t="s">
        <v>125</v>
      </c>
      <c r="B191" s="2" t="s">
        <v>307</v>
      </c>
    </row>
    <row r="192" spans="1:2">
      <c r="A192" s="2" t="s">
        <v>17</v>
      </c>
      <c r="B192" s="2" t="s">
        <v>185</v>
      </c>
    </row>
    <row r="193" spans="1:2">
      <c r="A193" s="2" t="s">
        <v>126</v>
      </c>
      <c r="B193" s="2" t="s">
        <v>308</v>
      </c>
    </row>
    <row r="194" spans="1:2">
      <c r="A194" s="2" t="s">
        <v>17</v>
      </c>
      <c r="B194" s="2" t="s">
        <v>309</v>
      </c>
    </row>
    <row r="195" spans="1:2">
      <c r="A195" s="2" t="s">
        <v>127</v>
      </c>
      <c r="B195" s="2" t="s">
        <v>310</v>
      </c>
    </row>
    <row r="196" spans="1:2">
      <c r="A196" s="2" t="s">
        <v>128</v>
      </c>
      <c r="B196" s="2" t="s">
        <v>311</v>
      </c>
    </row>
    <row r="197" spans="1:2">
      <c r="A197" s="2" t="s">
        <v>129</v>
      </c>
      <c r="B197" s="2" t="s">
        <v>312</v>
      </c>
    </row>
    <row r="198" spans="1:2">
      <c r="A198" s="2" t="s">
        <v>17</v>
      </c>
      <c r="B198" s="2" t="s">
        <v>180</v>
      </c>
    </row>
    <row r="199" spans="1:2">
      <c r="A199" s="2" t="s">
        <v>130</v>
      </c>
      <c r="B199" s="2" t="s">
        <v>313</v>
      </c>
    </row>
    <row r="200" spans="1:2">
      <c r="A200" s="2" t="s">
        <v>17</v>
      </c>
      <c r="B200" s="2" t="s">
        <v>201</v>
      </c>
    </row>
    <row r="201" spans="1:2">
      <c r="A201" s="2" t="s">
        <v>131</v>
      </c>
      <c r="B201" s="2" t="s">
        <v>314</v>
      </c>
    </row>
    <row r="202" spans="1:2">
      <c r="A202" s="2" t="s">
        <v>132</v>
      </c>
      <c r="B202" s="2" t="s">
        <v>185</v>
      </c>
    </row>
    <row r="203" spans="1:2">
      <c r="A203" s="2" t="s">
        <v>17</v>
      </c>
      <c r="B203" s="2" t="s">
        <v>315</v>
      </c>
    </row>
    <row r="204" spans="1:2">
      <c r="A204" s="2" t="s">
        <v>133</v>
      </c>
      <c r="B204" s="2" t="s">
        <v>193</v>
      </c>
    </row>
    <row r="205" spans="1:2">
      <c r="A205" s="2" t="s">
        <v>17</v>
      </c>
      <c r="B205" s="2" t="s">
        <v>316</v>
      </c>
    </row>
    <row r="206" spans="1:2">
      <c r="A206" s="2" t="s">
        <v>134</v>
      </c>
      <c r="B206" s="2" t="s">
        <v>271</v>
      </c>
    </row>
    <row r="207" spans="1:2">
      <c r="A207" s="2" t="s">
        <v>135</v>
      </c>
      <c r="B207" s="2" t="s">
        <v>317</v>
      </c>
    </row>
    <row r="208" spans="1:2">
      <c r="A208" s="2" t="s">
        <v>136</v>
      </c>
      <c r="B208" s="2" t="s">
        <v>286</v>
      </c>
    </row>
    <row r="209" spans="1:2">
      <c r="A209" s="2" t="s">
        <v>17</v>
      </c>
      <c r="B209" s="2" t="s">
        <v>318</v>
      </c>
    </row>
    <row r="210" spans="1:2">
      <c r="A210" s="2" t="s">
        <v>137</v>
      </c>
      <c r="B210" s="2" t="s">
        <v>319</v>
      </c>
    </row>
    <row r="211" spans="1:2">
      <c r="A211" s="2" t="s">
        <v>17</v>
      </c>
      <c r="B211" s="2" t="s">
        <v>320</v>
      </c>
    </row>
    <row r="212" spans="1:2">
      <c r="A212" s="2" t="s">
        <v>138</v>
      </c>
      <c r="B212" s="2" t="s">
        <v>216</v>
      </c>
    </row>
    <row r="213" spans="1:2">
      <c r="A213" s="2" t="s">
        <v>17</v>
      </c>
      <c r="B213" s="2" t="s">
        <v>321</v>
      </c>
    </row>
    <row r="214" spans="1:2">
      <c r="A214" s="2" t="s">
        <v>139</v>
      </c>
      <c r="B214" s="2" t="s">
        <v>185</v>
      </c>
    </row>
    <row r="215" spans="1:2">
      <c r="A215" s="2" t="s">
        <v>17</v>
      </c>
      <c r="B215" s="2" t="s">
        <v>322</v>
      </c>
    </row>
    <row r="216" spans="1:2">
      <c r="A216" s="2" t="s">
        <v>140</v>
      </c>
      <c r="B216" s="2" t="s">
        <v>323</v>
      </c>
    </row>
    <row r="217" spans="1:2">
      <c r="A217" s="2" t="s">
        <v>17</v>
      </c>
      <c r="B217" s="3" t="s">
        <v>324</v>
      </c>
    </row>
    <row r="218" spans="1:2">
      <c r="A218" s="2" t="s">
        <v>141</v>
      </c>
      <c r="B218" s="3" t="s">
        <v>216</v>
      </c>
    </row>
    <row r="219" spans="1:2">
      <c r="A219" s="2" t="s">
        <v>17</v>
      </c>
      <c r="B219" s="2" t="s">
        <v>325</v>
      </c>
    </row>
    <row r="220" spans="1:2">
      <c r="A220" s="2" t="s">
        <v>142</v>
      </c>
      <c r="B220" s="2" t="s">
        <v>185</v>
      </c>
    </row>
    <row r="221" spans="1:2">
      <c r="A221" s="2" t="s">
        <v>17</v>
      </c>
      <c r="B221" s="2" t="s">
        <v>326</v>
      </c>
    </row>
    <row r="222" spans="1:2">
      <c r="A222" s="2" t="s">
        <v>143</v>
      </c>
      <c r="B222" s="2" t="s">
        <v>185</v>
      </c>
    </row>
    <row r="223" spans="1:2">
      <c r="A223" s="2" t="s">
        <v>17</v>
      </c>
      <c r="B223" s="2" t="s">
        <v>327</v>
      </c>
    </row>
    <row r="224" spans="1:2">
      <c r="A224" s="2" t="s">
        <v>144</v>
      </c>
      <c r="B224" s="2" t="s">
        <v>208</v>
      </c>
    </row>
    <row r="225" spans="1:2">
      <c r="A225" s="2" t="s">
        <v>17</v>
      </c>
      <c r="B225" s="2" t="s">
        <v>328</v>
      </c>
    </row>
    <row r="226" spans="1:2">
      <c r="A226" s="2" t="s">
        <v>145</v>
      </c>
      <c r="B226" s="2" t="s">
        <v>193</v>
      </c>
    </row>
    <row r="227" spans="1:2">
      <c r="A227" s="2" t="s">
        <v>17</v>
      </c>
      <c r="B227" s="2" t="s">
        <v>329</v>
      </c>
    </row>
    <row r="228" spans="1:2">
      <c r="A228" s="2" t="s">
        <v>146</v>
      </c>
      <c r="B228" s="2" t="s">
        <v>180</v>
      </c>
    </row>
    <row r="229" spans="1:2">
      <c r="A229" s="2" t="s">
        <v>17</v>
      </c>
      <c r="B229" s="2" t="s">
        <v>330</v>
      </c>
    </row>
    <row r="230" spans="1:2">
      <c r="A230" s="2" t="s">
        <v>147</v>
      </c>
      <c r="B230" s="2" t="s">
        <v>204</v>
      </c>
    </row>
    <row r="231" spans="1:2">
      <c r="A231" s="2" t="s">
        <v>47</v>
      </c>
      <c r="B231" s="2" t="s">
        <v>331</v>
      </c>
    </row>
    <row r="232" spans="1:2">
      <c r="A232" s="2" t="s">
        <v>148</v>
      </c>
      <c r="B232" s="2" t="s">
        <v>199</v>
      </c>
    </row>
    <row r="233" spans="1:2">
      <c r="A233" s="2" t="s">
        <v>17</v>
      </c>
      <c r="B233" s="2" t="s">
        <v>332</v>
      </c>
    </row>
    <row r="234" spans="1:2">
      <c r="A234" s="2" t="s">
        <v>149</v>
      </c>
      <c r="B234" s="2" t="s">
        <v>178</v>
      </c>
    </row>
    <row r="235" spans="1:2">
      <c r="A235" s="2" t="s">
        <v>17</v>
      </c>
      <c r="B235" s="2" t="s">
        <v>333</v>
      </c>
    </row>
    <row r="236" spans="1:2">
      <c r="A236" s="2" t="s">
        <v>150</v>
      </c>
      <c r="B236" s="2" t="s">
        <v>180</v>
      </c>
    </row>
    <row r="237" spans="1:2">
      <c r="A237" s="2" t="s">
        <v>17</v>
      </c>
      <c r="B237" s="2" t="s">
        <v>334</v>
      </c>
    </row>
    <row r="238" spans="1:2">
      <c r="A238" s="2" t="s">
        <v>151</v>
      </c>
      <c r="B238" s="2" t="s">
        <v>227</v>
      </c>
    </row>
    <row r="239" spans="1:2">
      <c r="A239" s="2" t="s">
        <v>17</v>
      </c>
      <c r="B239" s="2" t="s">
        <v>335</v>
      </c>
    </row>
    <row r="240" spans="1:2">
      <c r="A240" s="2" t="s">
        <v>152</v>
      </c>
      <c r="B240" s="2" t="s">
        <v>219</v>
      </c>
    </row>
    <row r="241" spans="1:2">
      <c r="A241" s="2" t="s">
        <v>21</v>
      </c>
      <c r="B241" s="2" t="s">
        <v>336</v>
      </c>
    </row>
    <row r="242" spans="1:2">
      <c r="A242" s="2" t="s">
        <v>153</v>
      </c>
      <c r="B242" s="2" t="s">
        <v>208</v>
      </c>
    </row>
    <row r="243" spans="1:2">
      <c r="A243" s="2" t="s">
        <v>118</v>
      </c>
      <c r="B243" s="2" t="s">
        <v>337</v>
      </c>
    </row>
    <row r="244" spans="1:2">
      <c r="A244" s="2" t="s">
        <v>154</v>
      </c>
      <c r="B244" s="2" t="s">
        <v>251</v>
      </c>
    </row>
    <row r="245" spans="1:2">
      <c r="A245" s="2" t="s">
        <v>21</v>
      </c>
      <c r="B245" s="2" t="s">
        <v>338</v>
      </c>
    </row>
    <row r="246" spans="1:2">
      <c r="A246" s="2" t="s">
        <v>155</v>
      </c>
      <c r="B246" s="2" t="s">
        <v>311</v>
      </c>
    </row>
    <row r="247" spans="1:2">
      <c r="A247" s="2" t="s">
        <v>17</v>
      </c>
      <c r="B247" s="2" t="s">
        <v>339</v>
      </c>
    </row>
    <row r="248" spans="1:2">
      <c r="A248" s="2" t="s">
        <v>156</v>
      </c>
      <c r="B248" s="2" t="s">
        <v>340</v>
      </c>
    </row>
    <row r="249" spans="1:2">
      <c r="A249" s="2" t="s">
        <v>17</v>
      </c>
      <c r="B249" s="2" t="s">
        <v>341</v>
      </c>
    </row>
    <row r="250" spans="1:2">
      <c r="A250" s="2" t="s">
        <v>157</v>
      </c>
      <c r="B250" s="2" t="s">
        <v>206</v>
      </c>
    </row>
    <row r="251" spans="1:2">
      <c r="A251" s="2" t="s">
        <v>158</v>
      </c>
      <c r="B251" s="2" t="s">
        <v>342</v>
      </c>
    </row>
    <row r="252" spans="1:2">
      <c r="A252" s="2" t="s">
        <v>159</v>
      </c>
      <c r="B252" s="2" t="s">
        <v>286</v>
      </c>
    </row>
    <row r="253" spans="1:2">
      <c r="A253" s="2" t="s">
        <v>17</v>
      </c>
      <c r="B253" s="2" t="s">
        <v>343</v>
      </c>
    </row>
    <row r="254" spans="1:2">
      <c r="A254" s="2" t="s">
        <v>160</v>
      </c>
      <c r="B254" s="2" t="s">
        <v>344</v>
      </c>
    </row>
    <row r="255" spans="1:2">
      <c r="A255" s="2" t="s">
        <v>17</v>
      </c>
      <c r="B255" s="2" t="s">
        <v>345</v>
      </c>
    </row>
    <row r="256" spans="1:2">
      <c r="A256" s="2" t="s">
        <v>161</v>
      </c>
      <c r="B256" s="2" t="s">
        <v>344</v>
      </c>
    </row>
    <row r="257" spans="1:2">
      <c r="A257" s="2" t="s">
        <v>17</v>
      </c>
      <c r="B257" s="2" t="s">
        <v>346</v>
      </c>
    </row>
    <row r="258" spans="1:2">
      <c r="A258" s="2" t="s">
        <v>162</v>
      </c>
      <c r="B258" s="2" t="s">
        <v>347</v>
      </c>
    </row>
    <row r="259" spans="1:2">
      <c r="A259" s="2" t="s">
        <v>17</v>
      </c>
      <c r="B259" s="2" t="s">
        <v>346</v>
      </c>
    </row>
    <row r="260" spans="1:2">
      <c r="A260" s="2" t="s">
        <v>163</v>
      </c>
      <c r="B260" s="2" t="s">
        <v>225</v>
      </c>
    </row>
    <row r="261" spans="1:2">
      <c r="A261" s="2" t="s">
        <v>17</v>
      </c>
      <c r="B261" s="2" t="s">
        <v>348</v>
      </c>
    </row>
    <row r="262" spans="1:2">
      <c r="A262" s="2" t="s">
        <v>164</v>
      </c>
      <c r="B262" s="2" t="s">
        <v>286</v>
      </c>
    </row>
    <row r="263" spans="1:2">
      <c r="A263" s="2" t="s">
        <v>110</v>
      </c>
      <c r="B263" s="2" t="s">
        <v>349</v>
      </c>
    </row>
    <row r="264" spans="1:2">
      <c r="A264" s="2" t="s">
        <v>165</v>
      </c>
      <c r="B264" s="2" t="s">
        <v>350</v>
      </c>
    </row>
    <row r="265" spans="1:2">
      <c r="A265" s="2" t="s">
        <v>110</v>
      </c>
      <c r="B265" s="2" t="s">
        <v>351</v>
      </c>
    </row>
    <row r="266" spans="1:2">
      <c r="A266" s="2" t="s">
        <v>166</v>
      </c>
      <c r="B266" s="2" t="s">
        <v>352</v>
      </c>
    </row>
    <row r="267" spans="1:2">
      <c r="A267" s="2" t="s">
        <v>17</v>
      </c>
      <c r="B267" s="2" t="s">
        <v>353</v>
      </c>
    </row>
    <row r="268" spans="1:2">
      <c r="A268" s="2" t="s">
        <v>167</v>
      </c>
      <c r="B268" s="2" t="s">
        <v>256</v>
      </c>
    </row>
    <row r="269" spans="1:2">
      <c r="A269" s="2" t="s">
        <v>17</v>
      </c>
      <c r="B269" s="2" t="s">
        <v>354</v>
      </c>
    </row>
    <row r="270" spans="1:2">
      <c r="A270" s="2" t="s">
        <v>168</v>
      </c>
      <c r="B270" s="2" t="s">
        <v>355</v>
      </c>
    </row>
    <row r="271" spans="1:2">
      <c r="A271" s="2" t="s">
        <v>17</v>
      </c>
      <c r="B271" s="2" t="s">
        <v>356</v>
      </c>
    </row>
    <row r="272" spans="1:2">
      <c r="A272" s="2" t="s">
        <v>169</v>
      </c>
      <c r="B272" s="2" t="s">
        <v>197</v>
      </c>
    </row>
    <row r="273" spans="1:2">
      <c r="A273" s="2" t="s">
        <v>17</v>
      </c>
      <c r="B273" s="2" t="s">
        <v>357</v>
      </c>
    </row>
    <row r="274" spans="1:2">
      <c r="A274" s="2" t="s">
        <v>170</v>
      </c>
      <c r="B274" s="2" t="s">
        <v>199</v>
      </c>
    </row>
    <row r="275" spans="1:2">
      <c r="A275" s="2" t="s">
        <v>110</v>
      </c>
      <c r="B275" s="2" t="s">
        <v>358</v>
      </c>
    </row>
    <row r="276" spans="1:2">
      <c r="A276" s="2" t="s">
        <v>171</v>
      </c>
      <c r="B276" s="2" t="s">
        <v>359</v>
      </c>
    </row>
    <row r="277" spans="1:2">
      <c r="A277" s="2" t="s">
        <v>172</v>
      </c>
      <c r="B277" s="2" t="s">
        <v>360</v>
      </c>
    </row>
    <row r="278" spans="1:2">
      <c r="A278" s="2" t="s">
        <v>173</v>
      </c>
      <c r="B278" s="2" t="s">
        <v>361</v>
      </c>
    </row>
    <row r="279" spans="1:2">
      <c r="A279" s="2" t="s">
        <v>174</v>
      </c>
      <c r="B279" s="2" t="s">
        <v>362</v>
      </c>
    </row>
    <row r="280" spans="1:2">
      <c r="B280" s="2" t="s">
        <v>248</v>
      </c>
    </row>
    <row r="281" spans="1:2">
      <c r="B281" s="2" t="s">
        <v>363</v>
      </c>
    </row>
    <row r="282" spans="1:2">
      <c r="B282" s="2" t="s">
        <v>251</v>
      </c>
    </row>
    <row r="283" spans="1:2">
      <c r="B283" s="2" t="s">
        <v>364</v>
      </c>
    </row>
    <row r="284" spans="1:2">
      <c r="B284" s="2" t="s">
        <v>248</v>
      </c>
    </row>
    <row r="285" spans="1:2">
      <c r="B285" s="2" t="s">
        <v>365</v>
      </c>
    </row>
    <row r="286" spans="1:2">
      <c r="B286" s="2" t="s">
        <v>234</v>
      </c>
    </row>
    <row r="287" spans="1:2">
      <c r="B287" s="2" t="s">
        <v>366</v>
      </c>
    </row>
    <row r="288" spans="1:2">
      <c r="B288" s="2" t="s">
        <v>248</v>
      </c>
    </row>
    <row r="289" spans="2:2">
      <c r="B289" s="2" t="s">
        <v>367</v>
      </c>
    </row>
    <row r="290" spans="2:2">
      <c r="B290" s="2" t="s">
        <v>208</v>
      </c>
    </row>
    <row r="291" spans="2:2">
      <c r="B291" s="2" t="s">
        <v>368</v>
      </c>
    </row>
    <row r="292" spans="2:2">
      <c r="B292" s="2" t="s">
        <v>286</v>
      </c>
    </row>
    <row r="293" spans="2:2">
      <c r="B293" s="2" t="s">
        <v>369</v>
      </c>
    </row>
    <row r="294" spans="2:2">
      <c r="B294" s="2" t="s">
        <v>370</v>
      </c>
    </row>
    <row r="295" spans="2:2">
      <c r="B295" s="2" t="s">
        <v>371</v>
      </c>
    </row>
    <row r="296" spans="2:2">
      <c r="B296" s="2" t="s">
        <v>227</v>
      </c>
    </row>
    <row r="297" spans="2:2">
      <c r="B297" s="2" t="s">
        <v>372</v>
      </c>
    </row>
    <row r="298" spans="2:2">
      <c r="B298" s="2" t="s">
        <v>340</v>
      </c>
    </row>
    <row r="299" spans="2:2">
      <c r="B299" s="2" t="s">
        <v>373</v>
      </c>
    </row>
    <row r="300" spans="2:2">
      <c r="B300" s="2" t="s">
        <v>361</v>
      </c>
    </row>
    <row r="301" spans="2:2">
      <c r="B301" s="2" t="s">
        <v>374</v>
      </c>
    </row>
    <row r="302" spans="2:2">
      <c r="B302" s="2" t="s">
        <v>208</v>
      </c>
    </row>
    <row r="303" spans="2:2">
      <c r="B303" s="2" t="s">
        <v>365</v>
      </c>
    </row>
    <row r="304" spans="2:2">
      <c r="B304" s="2" t="s">
        <v>234</v>
      </c>
    </row>
    <row r="305" spans="2:2">
      <c r="B305" s="2" t="s">
        <v>366</v>
      </c>
    </row>
    <row r="306" spans="2:2">
      <c r="B306" s="2" t="s">
        <v>248</v>
      </c>
    </row>
    <row r="307" spans="2:2">
      <c r="B307" s="2" t="s">
        <v>367</v>
      </c>
    </row>
    <row r="308" spans="2:2">
      <c r="B308" s="2" t="s">
        <v>208</v>
      </c>
    </row>
    <row r="309" spans="2:2">
      <c r="B309" s="2" t="s">
        <v>368</v>
      </c>
    </row>
    <row r="310" spans="2:2">
      <c r="B310" s="2" t="s">
        <v>286</v>
      </c>
    </row>
    <row r="311" spans="2:2">
      <c r="B311" s="2" t="s">
        <v>369</v>
      </c>
    </row>
    <row r="312" spans="2:2">
      <c r="B312" s="2" t="s">
        <v>370</v>
      </c>
    </row>
    <row r="313" spans="2:2">
      <c r="B313" s="2" t="s">
        <v>371</v>
      </c>
    </row>
    <row r="314" spans="2:2">
      <c r="B314" s="2" t="s">
        <v>227</v>
      </c>
    </row>
    <row r="315" spans="2:2">
      <c r="B315" s="2" t="s">
        <v>372</v>
      </c>
    </row>
    <row r="316" spans="2:2">
      <c r="B316" s="2" t="s">
        <v>340</v>
      </c>
    </row>
    <row r="317" spans="2:2">
      <c r="B317" s="2" t="s">
        <v>373</v>
      </c>
    </row>
    <row r="318" spans="2:2">
      <c r="B318" s="2" t="s">
        <v>361</v>
      </c>
    </row>
    <row r="319" spans="2:2">
      <c r="B319" s="2" t="s">
        <v>374</v>
      </c>
    </row>
    <row r="320" spans="2:2">
      <c r="B320" s="2" t="s">
        <v>208</v>
      </c>
    </row>
    <row r="321" spans="2:2">
      <c r="B321" s="2" t="s">
        <v>375</v>
      </c>
    </row>
    <row r="322" spans="2:2">
      <c r="B322" s="2" t="s">
        <v>214</v>
      </c>
    </row>
    <row r="323" spans="2:2">
      <c r="B323" s="2" t="s">
        <v>376</v>
      </c>
    </row>
    <row r="324" spans="2:2">
      <c r="B324" s="2" t="s">
        <v>377</v>
      </c>
    </row>
    <row r="325" spans="2:2">
      <c r="B325" s="2" t="s">
        <v>378</v>
      </c>
    </row>
    <row r="326" spans="2:2">
      <c r="B326" s="2" t="s">
        <v>379</v>
      </c>
    </row>
    <row r="327" spans="2:2">
      <c r="B327" s="2" t="s">
        <v>380</v>
      </c>
    </row>
    <row r="328" spans="2:2">
      <c r="B328" s="2" t="s">
        <v>183</v>
      </c>
    </row>
    <row r="329" spans="2:2">
      <c r="B329" s="2" t="s">
        <v>381</v>
      </c>
    </row>
    <row r="330" spans="2:2">
      <c r="B330" s="2" t="s">
        <v>309</v>
      </c>
    </row>
    <row r="331" spans="2:2">
      <c r="B331" s="2" t="s">
        <v>382</v>
      </c>
    </row>
    <row r="332" spans="2:2">
      <c r="B332" s="2" t="s">
        <v>191</v>
      </c>
    </row>
    <row r="333" spans="2:2">
      <c r="B333" s="2" t="s">
        <v>383</v>
      </c>
    </row>
    <row r="334" spans="2:2">
      <c r="B334" s="2" t="s">
        <v>185</v>
      </c>
    </row>
    <row r="335" spans="2:2">
      <c r="B335" s="2" t="s">
        <v>384</v>
      </c>
    </row>
    <row r="336" spans="2:2">
      <c r="B336" s="2" t="s">
        <v>385</v>
      </c>
    </row>
    <row r="337" spans="2:2">
      <c r="B337" s="2" t="s">
        <v>386</v>
      </c>
    </row>
    <row r="338" spans="2:2">
      <c r="B338" s="2" t="s">
        <v>387</v>
      </c>
    </row>
    <row r="339" spans="2:2">
      <c r="B339" s="2" t="s">
        <v>388</v>
      </c>
    </row>
    <row r="340" spans="2:2">
      <c r="B340" s="2" t="s">
        <v>288</v>
      </c>
    </row>
    <row r="341" spans="2:2">
      <c r="B341" s="2" t="s">
        <v>389</v>
      </c>
    </row>
    <row r="342" spans="2:2">
      <c r="B342" s="2" t="s">
        <v>288</v>
      </c>
    </row>
    <row r="343" spans="2:2">
      <c r="B343" s="2" t="s">
        <v>390</v>
      </c>
    </row>
    <row r="344" spans="2:2">
      <c r="B344" s="2" t="s">
        <v>288</v>
      </c>
    </row>
    <row r="345" spans="2:2">
      <c r="B345" s="2" t="s">
        <v>391</v>
      </c>
    </row>
    <row r="346" spans="2:2">
      <c r="B346" s="2" t="s">
        <v>392</v>
      </c>
    </row>
    <row r="347" spans="2:2">
      <c r="B347" s="2" t="s">
        <v>393</v>
      </c>
    </row>
    <row r="348" spans="2:2">
      <c r="B348" s="2" t="s">
        <v>394</v>
      </c>
    </row>
    <row r="349" spans="2:2">
      <c r="B349" s="2" t="s">
        <v>395</v>
      </c>
    </row>
    <row r="350" spans="2:2">
      <c r="B350" s="2" t="s">
        <v>199</v>
      </c>
    </row>
    <row r="351" spans="2:2">
      <c r="B351" s="2" t="s">
        <v>396</v>
      </c>
    </row>
    <row r="352" spans="2:2">
      <c r="B352" s="2" t="s">
        <v>397</v>
      </c>
    </row>
    <row r="353" spans="2:2">
      <c r="B353" s="2" t="s">
        <v>398</v>
      </c>
    </row>
    <row r="354" spans="2:2">
      <c r="B354" s="2" t="s">
        <v>399</v>
      </c>
    </row>
    <row r="355" spans="2:2">
      <c r="B355" s="2" t="s">
        <v>400</v>
      </c>
    </row>
    <row r="356" spans="2:2">
      <c r="B356" s="2" t="s">
        <v>347</v>
      </c>
    </row>
    <row r="357" spans="2:2">
      <c r="B357" s="2" t="s">
        <v>401</v>
      </c>
    </row>
    <row r="358" spans="2:2">
      <c r="B358" s="2" t="s">
        <v>402</v>
      </c>
    </row>
    <row r="359" spans="2:2">
      <c r="B359" s="2" t="s">
        <v>403</v>
      </c>
    </row>
    <row r="360" spans="2:2">
      <c r="B360" s="2" t="s">
        <v>404</v>
      </c>
    </row>
    <row r="361" spans="2:2">
      <c r="B361" s="2" t="s">
        <v>405</v>
      </c>
    </row>
    <row r="362" spans="2:2">
      <c r="B362" s="2" t="s">
        <v>227</v>
      </c>
    </row>
    <row r="363" spans="2:2">
      <c r="B363" s="2" t="s">
        <v>406</v>
      </c>
    </row>
    <row r="364" spans="2:2">
      <c r="B364" s="2" t="s">
        <v>407</v>
      </c>
    </row>
    <row r="365" spans="2:2">
      <c r="B365" s="2" t="s">
        <v>408</v>
      </c>
    </row>
    <row r="366" spans="2:2">
      <c r="B366" s="2" t="s">
        <v>180</v>
      </c>
    </row>
    <row r="367" spans="2:2">
      <c r="B367" s="2" t="s">
        <v>409</v>
      </c>
    </row>
    <row r="368" spans="2:2">
      <c r="B368" s="2" t="s">
        <v>180</v>
      </c>
    </row>
    <row r="369" spans="2:2">
      <c r="B369" s="2" t="s">
        <v>410</v>
      </c>
    </row>
    <row r="370" spans="2:2">
      <c r="B370" s="2" t="s">
        <v>286</v>
      </c>
    </row>
    <row r="371" spans="2:2">
      <c r="B371" s="2" t="s">
        <v>411</v>
      </c>
    </row>
    <row r="372" spans="2:2">
      <c r="B372" s="2" t="s">
        <v>412</v>
      </c>
    </row>
    <row r="373" spans="2:2">
      <c r="B373" s="2" t="s">
        <v>413</v>
      </c>
    </row>
    <row r="374" spans="2:2">
      <c r="B374" s="2" t="s">
        <v>183</v>
      </c>
    </row>
    <row r="375" spans="2:2">
      <c r="B375" s="2" t="s">
        <v>414</v>
      </c>
    </row>
    <row r="376" spans="2:2">
      <c r="B376" s="2" t="s">
        <v>191</v>
      </c>
    </row>
    <row r="377" spans="2:2">
      <c r="B377" s="2" t="s">
        <v>415</v>
      </c>
    </row>
    <row r="378" spans="2:2">
      <c r="B378" s="2" t="s">
        <v>347</v>
      </c>
    </row>
    <row r="379" spans="2:2">
      <c r="B379" s="2" t="s">
        <v>416</v>
      </c>
    </row>
    <row r="380" spans="2:2">
      <c r="B380" s="2" t="s">
        <v>208</v>
      </c>
    </row>
    <row r="381" spans="2:2">
      <c r="B381" s="2" t="s">
        <v>417</v>
      </c>
    </row>
    <row r="382" spans="2:2">
      <c r="B382" s="2" t="s">
        <v>180</v>
      </c>
    </row>
    <row r="383" spans="2:2">
      <c r="B383" s="2" t="s">
        <v>418</v>
      </c>
    </row>
    <row r="384" spans="2:2">
      <c r="B384" s="2" t="s">
        <v>204</v>
      </c>
    </row>
    <row r="385" spans="2:2">
      <c r="B385" s="2" t="s">
        <v>419</v>
      </c>
    </row>
    <row r="386" spans="2:2">
      <c r="B386" s="2" t="s">
        <v>286</v>
      </c>
    </row>
    <row r="387" spans="2:2">
      <c r="B387" s="2" t="s">
        <v>420</v>
      </c>
    </row>
    <row r="388" spans="2:2">
      <c r="B388" s="2" t="s">
        <v>421</v>
      </c>
    </row>
    <row r="389" spans="2:2">
      <c r="B389" s="2" t="s">
        <v>422</v>
      </c>
    </row>
    <row r="390" spans="2:2">
      <c r="B390" s="2" t="s">
        <v>225</v>
      </c>
    </row>
    <row r="391" spans="2:2">
      <c r="B391" s="2" t="s">
        <v>423</v>
      </c>
    </row>
    <row r="392" spans="2:2">
      <c r="B392" s="2" t="s">
        <v>424</v>
      </c>
    </row>
    <row r="393" spans="2:2">
      <c r="B393" s="2" t="s">
        <v>425</v>
      </c>
    </row>
    <row r="394" spans="2:2">
      <c r="B394" s="2" t="s">
        <v>426</v>
      </c>
    </row>
    <row r="395" spans="2:2">
      <c r="B395" s="2" t="s">
        <v>427</v>
      </c>
    </row>
    <row r="396" spans="2:2">
      <c r="B396" s="2" t="s">
        <v>302</v>
      </c>
    </row>
    <row r="397" spans="2:2">
      <c r="B397" s="2" t="s">
        <v>428</v>
      </c>
    </row>
    <row r="398" spans="2:2">
      <c r="B398" s="2" t="s">
        <v>429</v>
      </c>
    </row>
    <row r="399" spans="2:2">
      <c r="B399" s="2" t="s">
        <v>430</v>
      </c>
    </row>
    <row r="400" spans="2:2">
      <c r="B400" s="2" t="s">
        <v>429</v>
      </c>
    </row>
    <row r="401" spans="2:2">
      <c r="B401" s="2" t="s">
        <v>431</v>
      </c>
    </row>
    <row r="402" spans="2:2">
      <c r="B402" s="2" t="s">
        <v>359</v>
      </c>
    </row>
    <row r="403" spans="2:2">
      <c r="B403" s="2" t="s">
        <v>432</v>
      </c>
    </row>
    <row r="404" spans="2:2">
      <c r="B404" s="2" t="s">
        <v>251</v>
      </c>
    </row>
    <row r="405" spans="2:2">
      <c r="B405" s="2" t="s">
        <v>433</v>
      </c>
    </row>
    <row r="406" spans="2:2">
      <c r="B406" s="2" t="s">
        <v>434</v>
      </c>
    </row>
    <row r="407" spans="2:2">
      <c r="B407" s="2" t="s">
        <v>435</v>
      </c>
    </row>
    <row r="408" spans="2:2">
      <c r="B408" s="2" t="s">
        <v>275</v>
      </c>
    </row>
    <row r="409" spans="2:2">
      <c r="B409" s="2" t="s">
        <v>276</v>
      </c>
    </row>
    <row r="410" spans="2:2">
      <c r="B410" s="2" t="s">
        <v>436</v>
      </c>
    </row>
    <row r="411" spans="2:2">
      <c r="B411" s="2" t="s">
        <v>437</v>
      </c>
    </row>
    <row r="412" spans="2:2">
      <c r="B412" s="2" t="s">
        <v>438</v>
      </c>
    </row>
    <row r="413" spans="2:2">
      <c r="B413" s="2" t="s">
        <v>439</v>
      </c>
    </row>
    <row r="414" spans="2:2">
      <c r="B414" s="2" t="s">
        <v>440</v>
      </c>
    </row>
    <row r="415" spans="2:2">
      <c r="B415" s="2" t="s">
        <v>319</v>
      </c>
    </row>
    <row r="416" spans="2:2">
      <c r="B416" s="2" t="s">
        <v>441</v>
      </c>
    </row>
    <row r="417" spans="2:2">
      <c r="B417" s="2" t="s">
        <v>340</v>
      </c>
    </row>
    <row r="418" spans="2:2">
      <c r="B418" s="2" t="s">
        <v>442</v>
      </c>
    </row>
    <row r="419" spans="2:2">
      <c r="B419" s="2" t="s">
        <v>424</v>
      </c>
    </row>
    <row r="420" spans="2:2">
      <c r="B420" s="2" t="s">
        <v>443</v>
      </c>
    </row>
    <row r="421" spans="2:2">
      <c r="B421" s="2" t="s">
        <v>185</v>
      </c>
    </row>
    <row r="422" spans="2:2">
      <c r="B422" s="2" t="s">
        <v>444</v>
      </c>
    </row>
    <row r="423" spans="2:2">
      <c r="B423" s="2" t="s">
        <v>225</v>
      </c>
    </row>
    <row r="424" spans="2:2">
      <c r="B424" s="2" t="s">
        <v>445</v>
      </c>
    </row>
    <row r="425" spans="2:2">
      <c r="B425" s="2" t="s">
        <v>206</v>
      </c>
    </row>
    <row r="426" spans="2:2">
      <c r="B426" s="2" t="s">
        <v>446</v>
      </c>
    </row>
    <row r="427" spans="2:2">
      <c r="B427" s="2" t="s">
        <v>204</v>
      </c>
    </row>
    <row r="428" spans="2:2">
      <c r="B428" s="2" t="s">
        <v>447</v>
      </c>
    </row>
    <row r="429" spans="2:2">
      <c r="B429" s="2" t="s">
        <v>309</v>
      </c>
    </row>
    <row r="430" spans="2:2">
      <c r="B430" s="2" t="s">
        <v>448</v>
      </c>
    </row>
    <row r="431" spans="2:2">
      <c r="B431" s="2" t="s">
        <v>352</v>
      </c>
    </row>
    <row r="432" spans="2:2">
      <c r="B432" s="2" t="s">
        <v>449</v>
      </c>
    </row>
    <row r="433" spans="2:2">
      <c r="B433" s="2" t="s">
        <v>206</v>
      </c>
    </row>
    <row r="434" spans="2:2">
      <c r="B434" s="2" t="s">
        <v>450</v>
      </c>
    </row>
    <row r="435" spans="2:2">
      <c r="B435" s="2" t="s">
        <v>451</v>
      </c>
    </row>
    <row r="436" spans="2:2">
      <c r="B436" s="2" t="s">
        <v>452</v>
      </c>
    </row>
    <row r="437" spans="2:2">
      <c r="B437" s="2" t="s">
        <v>256</v>
      </c>
    </row>
    <row r="438" spans="2:2">
      <c r="B438" s="2" t="s">
        <v>453</v>
      </c>
    </row>
    <row r="439" spans="2:2">
      <c r="B439" s="2" t="s">
        <v>454</v>
      </c>
    </row>
    <row r="440" spans="2:2">
      <c r="B440" s="2" t="s">
        <v>455</v>
      </c>
    </row>
    <row r="441" spans="2:2">
      <c r="B441" s="2" t="s">
        <v>206</v>
      </c>
    </row>
    <row r="442" spans="2:2">
      <c r="B442" s="2" t="s">
        <v>456</v>
      </c>
    </row>
    <row r="443" spans="2:2">
      <c r="B443" s="2" t="s">
        <v>201</v>
      </c>
    </row>
    <row r="444" spans="2:2">
      <c r="B444" s="2" t="s">
        <v>457</v>
      </c>
    </row>
    <row r="445" spans="2:2">
      <c r="B445" s="2" t="s">
        <v>340</v>
      </c>
    </row>
    <row r="446" spans="2:2">
      <c r="B446" s="2" t="s">
        <v>458</v>
      </c>
    </row>
    <row r="447" spans="2:2">
      <c r="B447" s="2" t="s">
        <v>225</v>
      </c>
    </row>
    <row r="448" spans="2:2">
      <c r="B448" s="2" t="s">
        <v>459</v>
      </c>
    </row>
    <row r="449" spans="2:2">
      <c r="B449" s="2" t="s">
        <v>286</v>
      </c>
    </row>
    <row r="450" spans="2:2">
      <c r="B450" s="2" t="s">
        <v>460</v>
      </c>
    </row>
    <row r="451" spans="2:2">
      <c r="B451" s="2" t="s">
        <v>222</v>
      </c>
    </row>
    <row r="452" spans="2:2">
      <c r="B452" s="2" t="s">
        <v>461</v>
      </c>
    </row>
    <row r="453" spans="2:2">
      <c r="B453" s="2" t="s">
        <v>397</v>
      </c>
    </row>
    <row r="454" spans="2:2">
      <c r="B454" s="2" t="s">
        <v>462</v>
      </c>
    </row>
    <row r="455" spans="2:2">
      <c r="B455" s="2" t="s">
        <v>185</v>
      </c>
    </row>
    <row r="456" spans="2:2">
      <c r="B456" s="2" t="s">
        <v>463</v>
      </c>
    </row>
    <row r="457" spans="2:2">
      <c r="B457" s="2" t="s">
        <v>216</v>
      </c>
    </row>
    <row r="458" spans="2:2">
      <c r="B458" s="2" t="s">
        <v>464</v>
      </c>
    </row>
    <row r="459" spans="2:2">
      <c r="B459" s="2" t="s">
        <v>344</v>
      </c>
    </row>
    <row r="460" spans="2:2">
      <c r="B460" s="2" t="s">
        <v>465</v>
      </c>
    </row>
    <row r="461" spans="2:2">
      <c r="B461" s="2" t="s">
        <v>193</v>
      </c>
    </row>
    <row r="462" spans="2:2">
      <c r="B462" s="2" t="s">
        <v>466</v>
      </c>
    </row>
    <row r="463" spans="2:2">
      <c r="B463" s="2" t="s">
        <v>193</v>
      </c>
    </row>
    <row r="464" spans="2:2">
      <c r="B464" s="2" t="s">
        <v>467</v>
      </c>
    </row>
    <row r="465" spans="2:2">
      <c r="B465" s="2" t="s">
        <v>225</v>
      </c>
    </row>
    <row r="466" spans="2:2">
      <c r="B466" s="2" t="s">
        <v>468</v>
      </c>
    </row>
    <row r="467" spans="2:2">
      <c r="B467" s="2" t="s">
        <v>469</v>
      </c>
    </row>
    <row r="468" spans="2:2">
      <c r="B468" s="2" t="s">
        <v>470</v>
      </c>
    </row>
    <row r="469" spans="2:2">
      <c r="B469" s="2" t="s">
        <v>471</v>
      </c>
    </row>
    <row r="470" spans="2:2">
      <c r="B470" s="2" t="s">
        <v>472</v>
      </c>
    </row>
    <row r="471" spans="2:2">
      <c r="B471" s="2" t="s">
        <v>262</v>
      </c>
    </row>
    <row r="472" spans="2:2">
      <c r="B472" s="2" t="s">
        <v>473</v>
      </c>
    </row>
    <row r="473" spans="2:2">
      <c r="B473" s="2" t="s">
        <v>225</v>
      </c>
    </row>
    <row r="474" spans="2:2">
      <c r="B474" s="2" t="s">
        <v>474</v>
      </c>
    </row>
    <row r="475" spans="2:2">
      <c r="B475" s="2" t="s">
        <v>183</v>
      </c>
    </row>
    <row r="476" spans="2:2">
      <c r="B476" s="2" t="s">
        <v>475</v>
      </c>
    </row>
    <row r="477" spans="2:2">
      <c r="B477" s="2" t="s">
        <v>271</v>
      </c>
    </row>
    <row r="478" spans="2:2">
      <c r="B478" s="2" t="s">
        <v>476</v>
      </c>
    </row>
    <row r="479" spans="2:2">
      <c r="B479" s="2" t="s">
        <v>183</v>
      </c>
    </row>
    <row r="480" spans="2:2">
      <c r="B480" s="2" t="s">
        <v>477</v>
      </c>
    </row>
    <row r="481" spans="2:2">
      <c r="B481" s="2" t="s">
        <v>183</v>
      </c>
    </row>
    <row r="482" spans="2:2">
      <c r="B482" s="2" t="s">
        <v>478</v>
      </c>
    </row>
    <row r="483" spans="2:2">
      <c r="B483" s="2" t="s">
        <v>183</v>
      </c>
    </row>
    <row r="484" spans="2:2">
      <c r="B484" s="2" t="s">
        <v>479</v>
      </c>
    </row>
    <row r="485" spans="2:2">
      <c r="B485" s="2" t="s">
        <v>208</v>
      </c>
    </row>
    <row r="486" spans="2:2">
      <c r="B486" s="2" t="s">
        <v>480</v>
      </c>
    </row>
    <row r="487" spans="2:2">
      <c r="B487" s="2" t="s">
        <v>206</v>
      </c>
    </row>
    <row r="488" spans="2:2">
      <c r="B488" s="2" t="s">
        <v>481</v>
      </c>
    </row>
    <row r="489" spans="2:2">
      <c r="B489" s="2" t="s">
        <v>193</v>
      </c>
    </row>
    <row r="490" spans="2:2">
      <c r="B490" s="2" t="s">
        <v>482</v>
      </c>
    </row>
    <row r="491" spans="2:2">
      <c r="B491" s="2" t="s">
        <v>225</v>
      </c>
    </row>
    <row r="492" spans="2:2">
      <c r="B492" s="2" t="s">
        <v>483</v>
      </c>
    </row>
    <row r="493" spans="2:2">
      <c r="B493" s="2" t="s">
        <v>251</v>
      </c>
    </row>
    <row r="494" spans="2:2">
      <c r="B494" s="2" t="s">
        <v>484</v>
      </c>
    </row>
    <row r="495" spans="2:2">
      <c r="B495" s="2" t="s">
        <v>286</v>
      </c>
    </row>
    <row r="496" spans="2:2">
      <c r="B496" s="2" t="s">
        <v>485</v>
      </c>
    </row>
    <row r="497" spans="2:2">
      <c r="B497" s="2" t="s">
        <v>352</v>
      </c>
    </row>
    <row r="498" spans="2:2">
      <c r="B498" s="2" t="s">
        <v>486</v>
      </c>
    </row>
    <row r="499" spans="2:2">
      <c r="B499" s="2" t="s">
        <v>197</v>
      </c>
    </row>
    <row r="500" spans="2:2">
      <c r="B500" s="2" t="s">
        <v>487</v>
      </c>
    </row>
    <row r="501" spans="2:2">
      <c r="B501" s="2" t="s">
        <v>302</v>
      </c>
    </row>
    <row r="502" spans="2:2">
      <c r="B502" s="2" t="s">
        <v>488</v>
      </c>
    </row>
    <row r="503" spans="2:2">
      <c r="B503" s="2" t="s">
        <v>214</v>
      </c>
    </row>
    <row r="504" spans="2:2">
      <c r="B504" s="2" t="s">
        <v>489</v>
      </c>
    </row>
    <row r="505" spans="2:2">
      <c r="B505" s="2" t="s">
        <v>204</v>
      </c>
    </row>
    <row r="506" spans="2:2">
      <c r="B506" s="2" t="s">
        <v>490</v>
      </c>
    </row>
    <row r="507" spans="2:2">
      <c r="B507" s="2" t="s">
        <v>421</v>
      </c>
    </row>
    <row r="508" spans="2:2">
      <c r="B508" s="2" t="s">
        <v>491</v>
      </c>
    </row>
    <row r="509" spans="2:2">
      <c r="B509" s="2" t="s">
        <v>195</v>
      </c>
    </row>
    <row r="510" spans="2:2">
      <c r="B510" s="2" t="s">
        <v>492</v>
      </c>
    </row>
    <row r="511" spans="2:2">
      <c r="B511" s="2" t="s">
        <v>275</v>
      </c>
    </row>
    <row r="512" spans="2:2">
      <c r="B512" s="2" t="s">
        <v>276</v>
      </c>
    </row>
    <row r="513" spans="2:2">
      <c r="B513" s="2" t="s">
        <v>493</v>
      </c>
    </row>
    <row r="514" spans="2:2">
      <c r="B514" s="2" t="s">
        <v>494</v>
      </c>
    </row>
    <row r="515" spans="2:2">
      <c r="B515" s="2" t="s">
        <v>495</v>
      </c>
    </row>
    <row r="516" spans="2:2">
      <c r="B516" s="2" t="s">
        <v>494</v>
      </c>
    </row>
    <row r="517" spans="2:2">
      <c r="B517" s="2" t="s">
        <v>496</v>
      </c>
    </row>
    <row r="518" spans="2:2">
      <c r="B518" s="2" t="s">
        <v>494</v>
      </c>
    </row>
    <row r="519" spans="2:2">
      <c r="B519" s="2" t="s">
        <v>497</v>
      </c>
    </row>
    <row r="520" spans="2:2">
      <c r="B520" s="2" t="s">
        <v>288</v>
      </c>
    </row>
    <row r="521" spans="2:2">
      <c r="B521" s="2" t="s">
        <v>498</v>
      </c>
    </row>
    <row r="522" spans="2:2">
      <c r="B522" s="2" t="s">
        <v>499</v>
      </c>
    </row>
    <row r="523" spans="2:2">
      <c r="B523" s="2" t="s">
        <v>500</v>
      </c>
    </row>
    <row r="524" spans="2:2">
      <c r="B524" s="2" t="s">
        <v>288</v>
      </c>
    </row>
    <row r="525" spans="2:2">
      <c r="B525" s="2" t="s">
        <v>501</v>
      </c>
    </row>
    <row r="526" spans="2:2">
      <c r="B526" s="2" t="s">
        <v>502</v>
      </c>
    </row>
    <row r="527" spans="2:2">
      <c r="B527" s="2" t="s">
        <v>503</v>
      </c>
    </row>
    <row r="528" spans="2:2">
      <c r="B528" s="2" t="s">
        <v>387</v>
      </c>
    </row>
    <row r="529" spans="2:2">
      <c r="B529" s="2" t="s">
        <v>504</v>
      </c>
    </row>
    <row r="530" spans="2:2">
      <c r="B530" s="2" t="s">
        <v>421</v>
      </c>
    </row>
    <row r="531" spans="2:2">
      <c r="B531" s="2" t="s">
        <v>505</v>
      </c>
    </row>
    <row r="532" spans="2:2">
      <c r="B532" s="2" t="s">
        <v>506</v>
      </c>
    </row>
    <row r="533" spans="2:2">
      <c r="B533" s="2" t="s">
        <v>507</v>
      </c>
    </row>
    <row r="534" spans="2:2">
      <c r="B534" s="2" t="s">
        <v>286</v>
      </c>
    </row>
    <row r="535" spans="2:2">
      <c r="B535" s="2" t="s">
        <v>508</v>
      </c>
    </row>
    <row r="536" spans="2:2">
      <c r="B536" s="2" t="s">
        <v>227</v>
      </c>
    </row>
    <row r="537" spans="2:2">
      <c r="B537" s="2" t="s">
        <v>509</v>
      </c>
    </row>
    <row r="538" spans="2:2">
      <c r="B538" s="2" t="s">
        <v>197</v>
      </c>
    </row>
    <row r="539" spans="2:2">
      <c r="B539" s="2" t="s">
        <v>510</v>
      </c>
    </row>
    <row r="540" spans="2:2">
      <c r="B540" s="2" t="s">
        <v>511</v>
      </c>
    </row>
    <row r="541" spans="2:2">
      <c r="B541" s="2" t="s">
        <v>512</v>
      </c>
    </row>
    <row r="542" spans="2:2">
      <c r="B542" s="2" t="s">
        <v>273</v>
      </c>
    </row>
    <row r="543" spans="2:2">
      <c r="B543" s="2" t="s">
        <v>513</v>
      </c>
    </row>
    <row r="544" spans="2:2">
      <c r="B544" s="2" t="s">
        <v>514</v>
      </c>
    </row>
    <row r="545" spans="2:2">
      <c r="B545" s="2" t="s">
        <v>515</v>
      </c>
    </row>
    <row r="546" spans="2:2">
      <c r="B546" s="2" t="s">
        <v>355</v>
      </c>
    </row>
    <row r="547" spans="2:2">
      <c r="B547" s="2" t="s">
        <v>516</v>
      </c>
    </row>
    <row r="548" spans="2:2">
      <c r="B548" s="2" t="s">
        <v>517</v>
      </c>
    </row>
    <row r="549" spans="2:2">
      <c r="B549" s="2" t="s">
        <v>518</v>
      </c>
    </row>
    <row r="550" spans="2:2">
      <c r="B550" s="2" t="s">
        <v>222</v>
      </c>
    </row>
    <row r="551" spans="2:2">
      <c r="B551" s="2" t="s">
        <v>519</v>
      </c>
    </row>
    <row r="552" spans="2:2">
      <c r="B552" s="2" t="s">
        <v>193</v>
      </c>
    </row>
    <row r="553" spans="2:2">
      <c r="B553" s="2" t="s">
        <v>520</v>
      </c>
    </row>
    <row r="554" spans="2:2">
      <c r="B554" s="2" t="s">
        <v>197</v>
      </c>
    </row>
    <row r="555" spans="2:2">
      <c r="B555" s="2" t="s">
        <v>521</v>
      </c>
    </row>
    <row r="556" spans="2:2">
      <c r="B556" s="2" t="s">
        <v>522</v>
      </c>
    </row>
    <row r="557" spans="2:2">
      <c r="B557" s="2" t="s">
        <v>523</v>
      </c>
    </row>
    <row r="558" spans="2:2">
      <c r="B558" s="2" t="s">
        <v>524</v>
      </c>
    </row>
    <row r="559" spans="2:2">
      <c r="B559" s="2" t="s">
        <v>525</v>
      </c>
    </row>
    <row r="560" spans="2:2">
      <c r="B560" s="2" t="s">
        <v>204</v>
      </c>
    </row>
    <row r="561" spans="2:2">
      <c r="B561" s="2" t="s">
        <v>526</v>
      </c>
    </row>
    <row r="562" spans="2:2">
      <c r="B562" s="2" t="s">
        <v>370</v>
      </c>
    </row>
    <row r="563" spans="2:2">
      <c r="B563" s="2" t="s">
        <v>527</v>
      </c>
    </row>
    <row r="564" spans="2:2">
      <c r="B564" s="2" t="s">
        <v>517</v>
      </c>
    </row>
    <row r="565" spans="2:2">
      <c r="B565" s="2" t="s">
        <v>528</v>
      </c>
    </row>
    <row r="566" spans="2:2">
      <c r="B566" s="2" t="s">
        <v>195</v>
      </c>
    </row>
    <row r="567" spans="2:2">
      <c r="B567" s="2" t="s">
        <v>529</v>
      </c>
    </row>
    <row r="568" spans="2:2">
      <c r="B568" s="2" t="s">
        <v>225</v>
      </c>
    </row>
    <row r="569" spans="2:2">
      <c r="B569" s="2" t="s">
        <v>530</v>
      </c>
    </row>
    <row r="570" spans="2:2">
      <c r="B570" s="2" t="s">
        <v>531</v>
      </c>
    </row>
    <row r="571" spans="2:2">
      <c r="B571" s="2" t="s">
        <v>532</v>
      </c>
    </row>
    <row r="572" spans="2:2">
      <c r="B572" s="2" t="s">
        <v>183</v>
      </c>
    </row>
    <row r="573" spans="2:2">
      <c r="B573" s="2" t="s">
        <v>533</v>
      </c>
    </row>
    <row r="574" spans="2:2">
      <c r="B574" s="2" t="s">
        <v>185</v>
      </c>
    </row>
    <row r="575" spans="2:2">
      <c r="B575" s="2" t="s">
        <v>534</v>
      </c>
    </row>
    <row r="576" spans="2:2">
      <c r="B576" s="2" t="s">
        <v>311</v>
      </c>
    </row>
    <row r="577" spans="2:2">
      <c r="B577" s="2" t="s">
        <v>535</v>
      </c>
    </row>
    <row r="578" spans="2:2">
      <c r="B578" s="2" t="s">
        <v>248</v>
      </c>
    </row>
    <row r="579" spans="2:2">
      <c r="B579" s="2" t="s">
        <v>536</v>
      </c>
    </row>
    <row r="580" spans="2:2">
      <c r="B580" s="2" t="s">
        <v>251</v>
      </c>
    </row>
    <row r="581" spans="2:2">
      <c r="B581" s="2" t="s">
        <v>537</v>
      </c>
    </row>
    <row r="582" spans="2:2">
      <c r="B582" s="2" t="s">
        <v>361</v>
      </c>
    </row>
    <row r="583" spans="2:2">
      <c r="B583" s="2" t="s">
        <v>537</v>
      </c>
    </row>
    <row r="584" spans="2:2">
      <c r="B584" s="2" t="s">
        <v>538</v>
      </c>
    </row>
    <row r="585" spans="2:2">
      <c r="B585" s="2" t="s">
        <v>539</v>
      </c>
    </row>
    <row r="586" spans="2:2">
      <c r="B586" s="2" t="s">
        <v>271</v>
      </c>
    </row>
    <row r="587" spans="2:2">
      <c r="B587" s="2" t="s">
        <v>540</v>
      </c>
    </row>
    <row r="588" spans="2:2">
      <c r="B588" s="2" t="s">
        <v>494</v>
      </c>
    </row>
    <row r="589" spans="2:2">
      <c r="B589" s="2" t="s">
        <v>541</v>
      </c>
    </row>
    <row r="590" spans="2:2">
      <c r="B590" s="2" t="s">
        <v>542</v>
      </c>
    </row>
    <row r="591" spans="2:2">
      <c r="B591" s="2" t="s">
        <v>543</v>
      </c>
    </row>
    <row r="592" spans="2:2">
      <c r="B592" s="2" t="s">
        <v>397</v>
      </c>
    </row>
    <row r="593" spans="2:2">
      <c r="B593" s="2" t="s">
        <v>544</v>
      </c>
    </row>
    <row r="594" spans="2:2">
      <c r="B594" s="2" t="s">
        <v>185</v>
      </c>
    </row>
    <row r="595" spans="2:2">
      <c r="B595" s="2" t="s">
        <v>545</v>
      </c>
    </row>
    <row r="596" spans="2:2">
      <c r="B596" s="2" t="s">
        <v>546</v>
      </c>
    </row>
    <row r="597" spans="2:2">
      <c r="B597" s="2" t="s">
        <v>547</v>
      </c>
    </row>
    <row r="598" spans="2:2">
      <c r="B598" s="2" t="s">
        <v>227</v>
      </c>
    </row>
    <row r="599" spans="2:2">
      <c r="B599" s="2" t="s">
        <v>548</v>
      </c>
    </row>
    <row r="600" spans="2:2">
      <c r="B600" s="2" t="s">
        <v>178</v>
      </c>
    </row>
    <row r="601" spans="2:2">
      <c r="B601" s="2" t="s">
        <v>549</v>
      </c>
    </row>
    <row r="602" spans="2:2">
      <c r="B602" s="2" t="s">
        <v>185</v>
      </c>
    </row>
    <row r="603" spans="2:2">
      <c r="B603" s="2" t="s">
        <v>550</v>
      </c>
    </row>
    <row r="604" spans="2:2">
      <c r="B604" s="2" t="s">
        <v>225</v>
      </c>
    </row>
    <row r="605" spans="2:2">
      <c r="B605" s="2" t="s">
        <v>551</v>
      </c>
    </row>
    <row r="606" spans="2:2">
      <c r="B606" s="2" t="s">
        <v>248</v>
      </c>
    </row>
    <row r="607" spans="2:2">
      <c r="B607" s="2" t="s">
        <v>552</v>
      </c>
    </row>
    <row r="608" spans="2:2">
      <c r="B608" s="2" t="s">
        <v>273</v>
      </c>
    </row>
    <row r="609" spans="2:2">
      <c r="B609" s="2" t="s">
        <v>553</v>
      </c>
    </row>
    <row r="610" spans="2:2">
      <c r="B610" s="2" t="s">
        <v>225</v>
      </c>
    </row>
    <row r="611" spans="2:2">
      <c r="B611" s="2" t="s">
        <v>554</v>
      </c>
    </row>
    <row r="612" spans="2:2">
      <c r="B612" s="2" t="s">
        <v>227</v>
      </c>
    </row>
    <row r="613" spans="2:2">
      <c r="B613" s="2" t="s">
        <v>555</v>
      </c>
    </row>
    <row r="614" spans="2:2">
      <c r="B614" s="2" t="s">
        <v>216</v>
      </c>
    </row>
    <row r="615" spans="2:2">
      <c r="B615" s="2" t="s">
        <v>556</v>
      </c>
    </row>
    <row r="616" spans="2:2">
      <c r="B616" s="2" t="s">
        <v>180</v>
      </c>
    </row>
    <row r="617" spans="2:2">
      <c r="B617" s="2" t="s">
        <v>557</v>
      </c>
    </row>
    <row r="618" spans="2:2">
      <c r="B618" s="2" t="s">
        <v>180</v>
      </c>
    </row>
    <row r="619" spans="2:2">
      <c r="B619" s="2" t="s">
        <v>558</v>
      </c>
    </row>
    <row r="620" spans="2:2">
      <c r="B620" s="2" t="s">
        <v>180</v>
      </c>
    </row>
    <row r="621" spans="2:2">
      <c r="B621" s="2" t="s">
        <v>559</v>
      </c>
    </row>
    <row r="622" spans="2:2">
      <c r="B622" s="2" t="s">
        <v>251</v>
      </c>
    </row>
    <row r="623" spans="2:2">
      <c r="B623" s="2" t="s">
        <v>560</v>
      </c>
    </row>
    <row r="624" spans="2:2">
      <c r="B624" s="2" t="s">
        <v>208</v>
      </c>
    </row>
    <row r="625" spans="2:2">
      <c r="B625" s="2" t="s">
        <v>561</v>
      </c>
    </row>
    <row r="626" spans="2:2">
      <c r="B626" s="2" t="s">
        <v>206</v>
      </c>
    </row>
    <row r="627" spans="2:2">
      <c r="B627" s="2" t="s">
        <v>562</v>
      </c>
    </row>
    <row r="628" spans="2:2">
      <c r="B628" s="2" t="s">
        <v>208</v>
      </c>
    </row>
    <row r="629" spans="2:2">
      <c r="B629" s="2" t="s">
        <v>563</v>
      </c>
    </row>
    <row r="630" spans="2:2">
      <c r="B630" s="2" t="s">
        <v>185</v>
      </c>
    </row>
    <row r="631" spans="2:2">
      <c r="B631" s="2" t="s">
        <v>564</v>
      </c>
    </row>
    <row r="632" spans="2:2">
      <c r="B632" s="2" t="s">
        <v>206</v>
      </c>
    </row>
    <row r="633" spans="2:2">
      <c r="B633" s="2" t="s">
        <v>565</v>
      </c>
    </row>
    <row r="634" spans="2:2">
      <c r="B634" s="2" t="s">
        <v>185</v>
      </c>
    </row>
    <row r="635" spans="2:2">
      <c r="B635" s="2" t="s">
        <v>566</v>
      </c>
    </row>
    <row r="636" spans="2:2">
      <c r="B636" s="2" t="s">
        <v>251</v>
      </c>
    </row>
    <row r="637" spans="2:2">
      <c r="B637" s="2" t="s">
        <v>567</v>
      </c>
    </row>
    <row r="638" spans="2:2">
      <c r="B638" s="2" t="s">
        <v>180</v>
      </c>
    </row>
    <row r="639" spans="2:2">
      <c r="B639" s="2" t="s">
        <v>568</v>
      </c>
    </row>
    <row r="640" spans="2:2">
      <c r="B640" s="2" t="s">
        <v>225</v>
      </c>
    </row>
    <row r="641" spans="2:2">
      <c r="B641" s="2" t="s">
        <v>569</v>
      </c>
    </row>
    <row r="642" spans="2:2">
      <c r="B642" s="2" t="s">
        <v>180</v>
      </c>
    </row>
    <row r="643" spans="2:2">
      <c r="B643" s="2" t="s">
        <v>570</v>
      </c>
    </row>
    <row r="644" spans="2:2">
      <c r="B644" s="2" t="s">
        <v>185</v>
      </c>
    </row>
    <row r="645" spans="2:2">
      <c r="B645" s="2" t="s">
        <v>571</v>
      </c>
    </row>
    <row r="646" spans="2:2">
      <c r="B646" s="2" t="s">
        <v>234</v>
      </c>
    </row>
    <row r="647" spans="2:2">
      <c r="B647" s="2" t="s">
        <v>572</v>
      </c>
    </row>
    <row r="648" spans="2:2">
      <c r="B648" s="2" t="s">
        <v>286</v>
      </c>
    </row>
    <row r="649" spans="2:2">
      <c r="B649" s="2" t="s">
        <v>573</v>
      </c>
    </row>
    <row r="650" spans="2:2">
      <c r="B650" s="2" t="s">
        <v>234</v>
      </c>
    </row>
    <row r="651" spans="2:2">
      <c r="B651" s="2" t="s">
        <v>574</v>
      </c>
    </row>
    <row r="652" spans="2:2">
      <c r="B652" s="2" t="s">
        <v>575</v>
      </c>
    </row>
    <row r="653" spans="2:2">
      <c r="B653" s="3" t="s">
        <v>576</v>
      </c>
    </row>
    <row r="654" spans="2:2">
      <c r="B654" s="3" t="s">
        <v>201</v>
      </c>
    </row>
    <row r="655" spans="2:2">
      <c r="B655" s="2" t="s">
        <v>577</v>
      </c>
    </row>
    <row r="656" spans="2:2">
      <c r="B656" s="2" t="s">
        <v>271</v>
      </c>
    </row>
    <row r="657" spans="2:2">
      <c r="B657" s="2" t="s">
        <v>578</v>
      </c>
    </row>
    <row r="658" spans="2:2">
      <c r="B658" s="2" t="s">
        <v>579</v>
      </c>
    </row>
    <row r="659" spans="2:2">
      <c r="B659" s="2" t="s">
        <v>580</v>
      </c>
    </row>
    <row r="660" spans="2:2">
      <c r="B660" s="2" t="s">
        <v>434</v>
      </c>
    </row>
    <row r="661" spans="2:2">
      <c r="B661" s="2" t="s">
        <v>581</v>
      </c>
    </row>
    <row r="662" spans="2:2">
      <c r="B662" s="2" t="s">
        <v>582</v>
      </c>
    </row>
    <row r="663" spans="2:2">
      <c r="B663" s="2" t="s">
        <v>583</v>
      </c>
    </row>
    <row r="664" spans="2:2">
      <c r="B664" s="2" t="s">
        <v>582</v>
      </c>
    </row>
    <row r="665" spans="2:2">
      <c r="B665" s="2" t="s">
        <v>584</v>
      </c>
    </row>
    <row r="666" spans="2:2">
      <c r="B666" s="2" t="s">
        <v>225</v>
      </c>
    </row>
    <row r="667" spans="2:2">
      <c r="B667" s="2" t="s">
        <v>585</v>
      </c>
    </row>
    <row r="668" spans="2:2">
      <c r="B668" s="2" t="s">
        <v>262</v>
      </c>
    </row>
    <row r="669" spans="2:2">
      <c r="B669" s="2" t="s">
        <v>586</v>
      </c>
    </row>
    <row r="670" spans="2:2">
      <c r="B670" s="2" t="s">
        <v>222</v>
      </c>
    </row>
    <row r="671" spans="2:2">
      <c r="B671" s="2" t="s">
        <v>587</v>
      </c>
    </row>
    <row r="672" spans="2:2">
      <c r="B672" s="2" t="s">
        <v>347</v>
      </c>
    </row>
    <row r="673" spans="2:2">
      <c r="B673" s="2" t="s">
        <v>588</v>
      </c>
    </row>
    <row r="674" spans="2:2">
      <c r="B674" s="2" t="s">
        <v>251</v>
      </c>
    </row>
    <row r="675" spans="2:2">
      <c r="B675" s="2" t="s">
        <v>589</v>
      </c>
    </row>
    <row r="676" spans="2:2">
      <c r="B676" s="2" t="s">
        <v>183</v>
      </c>
    </row>
    <row r="677" spans="2:2">
      <c r="B677" s="2" t="s">
        <v>590</v>
      </c>
    </row>
    <row r="678" spans="2:2">
      <c r="B678" s="2" t="s">
        <v>183</v>
      </c>
    </row>
    <row r="679" spans="2:2">
      <c r="B679" s="2" t="s">
        <v>591</v>
      </c>
    </row>
    <row r="680" spans="2:2">
      <c r="B680" s="2" t="s">
        <v>183</v>
      </c>
    </row>
    <row r="681" spans="2:2">
      <c r="B681" s="2" t="s">
        <v>592</v>
      </c>
    </row>
    <row r="682" spans="2:2">
      <c r="B682" s="2" t="s">
        <v>183</v>
      </c>
    </row>
    <row r="683" spans="2:2">
      <c r="B683" s="2" t="s">
        <v>593</v>
      </c>
    </row>
    <row r="684" spans="2:2">
      <c r="B684" s="2" t="s">
        <v>286</v>
      </c>
    </row>
    <row r="685" spans="2:2">
      <c r="B685" s="2" t="s">
        <v>594</v>
      </c>
    </row>
    <row r="686" spans="2:2">
      <c r="B686" s="2" t="s">
        <v>471</v>
      </c>
    </row>
    <row r="687" spans="2:2">
      <c r="B687" s="2" t="s">
        <v>594</v>
      </c>
    </row>
    <row r="688" spans="2:2">
      <c r="B688" s="2" t="s">
        <v>531</v>
      </c>
    </row>
    <row r="689" spans="2:2">
      <c r="B689" s="2" t="s">
        <v>595</v>
      </c>
    </row>
    <row r="690" spans="2:2">
      <c r="B690" s="2" t="s">
        <v>236</v>
      </c>
    </row>
    <row r="691" spans="2:2">
      <c r="B691" s="2" t="s">
        <v>596</v>
      </c>
    </row>
    <row r="692" spans="2:2">
      <c r="B692" s="2" t="s">
        <v>206</v>
      </c>
    </row>
    <row r="693" spans="2:2">
      <c r="B693" s="2" t="s">
        <v>597</v>
      </c>
    </row>
    <row r="694" spans="2:2">
      <c r="B694" s="2" t="s">
        <v>542</v>
      </c>
    </row>
    <row r="695" spans="2:2">
      <c r="B695" s="2" t="s">
        <v>598</v>
      </c>
    </row>
    <row r="696" spans="2:2">
      <c r="B696" s="2" t="s">
        <v>206</v>
      </c>
    </row>
    <row r="697" spans="2:2">
      <c r="B697" s="2" t="s">
        <v>599</v>
      </c>
    </row>
    <row r="698" spans="2:2">
      <c r="B698" s="2" t="s">
        <v>180</v>
      </c>
    </row>
    <row r="699" spans="2:2">
      <c r="B699" s="2" t="s">
        <v>600</v>
      </c>
    </row>
    <row r="700" spans="2:2">
      <c r="B700" s="2" t="s">
        <v>180</v>
      </c>
    </row>
    <row r="701" spans="2:2">
      <c r="B701" s="2" t="s">
        <v>601</v>
      </c>
    </row>
    <row r="702" spans="2:2">
      <c r="B702" s="2" t="s">
        <v>288</v>
      </c>
    </row>
    <row r="703" spans="2:2">
      <c r="B703" s="2" t="s">
        <v>602</v>
      </c>
    </row>
    <row r="704" spans="2:2">
      <c r="B704" s="2" t="s">
        <v>206</v>
      </c>
    </row>
    <row r="705" spans="2:2">
      <c r="B705" s="2" t="s">
        <v>603</v>
      </c>
    </row>
    <row r="706" spans="2:2">
      <c r="B706" s="2" t="s">
        <v>288</v>
      </c>
    </row>
    <row r="707" spans="2:2">
      <c r="B707" s="2" t="s">
        <v>604</v>
      </c>
    </row>
    <row r="708" spans="2:2">
      <c r="B708" s="2" t="s">
        <v>180</v>
      </c>
    </row>
    <row r="709" spans="2:2">
      <c r="B709" s="2" t="s">
        <v>605</v>
      </c>
    </row>
    <row r="710" spans="2:2">
      <c r="B710" s="2" t="s">
        <v>271</v>
      </c>
    </row>
    <row r="711" spans="2:2">
      <c r="B711" s="2" t="s">
        <v>606</v>
      </c>
    </row>
    <row r="712" spans="2:2">
      <c r="B712" s="2" t="s">
        <v>251</v>
      </c>
    </row>
    <row r="713" spans="2:2">
      <c r="B713" s="2" t="s">
        <v>607</v>
      </c>
    </row>
    <row r="714" spans="2:2">
      <c r="B714" s="2" t="s">
        <v>206</v>
      </c>
    </row>
    <row r="715" spans="2:2">
      <c r="B715" s="2" t="s">
        <v>608</v>
      </c>
    </row>
    <row r="716" spans="2:2">
      <c r="B716" s="2" t="s">
        <v>609</v>
      </c>
    </row>
    <row r="717" spans="2:2">
      <c r="B717" s="2" t="s">
        <v>610</v>
      </c>
    </row>
    <row r="718" spans="2:2">
      <c r="B718" s="2" t="s">
        <v>407</v>
      </c>
    </row>
    <row r="719" spans="2:2">
      <c r="B719" s="2" t="s">
        <v>611</v>
      </c>
    </row>
    <row r="720" spans="2:2">
      <c r="B720" s="2" t="s">
        <v>204</v>
      </c>
    </row>
    <row r="721" spans="2:2">
      <c r="B721" s="2" t="s">
        <v>612</v>
      </c>
    </row>
    <row r="722" spans="2:2">
      <c r="B722" s="2" t="s">
        <v>185</v>
      </c>
    </row>
    <row r="723" spans="2:2">
      <c r="B723" s="2" t="s">
        <v>613</v>
      </c>
    </row>
    <row r="724" spans="2:2">
      <c r="B724" s="2" t="s">
        <v>183</v>
      </c>
    </row>
    <row r="725" spans="2:2">
      <c r="B725" s="2" t="s">
        <v>614</v>
      </c>
    </row>
    <row r="726" spans="2:2">
      <c r="B726" s="2" t="s">
        <v>183</v>
      </c>
    </row>
    <row r="727" spans="2:2">
      <c r="B727" s="2" t="s">
        <v>615</v>
      </c>
    </row>
    <row r="728" spans="2:2">
      <c r="B728" s="2" t="s">
        <v>183</v>
      </c>
    </row>
    <row r="729" spans="2:2">
      <c r="B729" s="2" t="s">
        <v>616</v>
      </c>
    </row>
    <row r="730" spans="2:2">
      <c r="B730" s="2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J&amp;J</vt:lpstr>
      <vt:lpstr>P&amp;G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2023-03-08T21:04:33Z</dcterms:created>
  <dcterms:modified xsi:type="dcterms:W3CDTF">2023-03-09T08:24:48Z</dcterms:modified>
</cp:coreProperties>
</file>