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0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<sst xmlns="http://schemas.openxmlformats.org/spreadsheetml/2006/main" count="1341" uniqueCount="460">
  <si>
    <t>Ranking</t>
  </si>
  <si>
    <t>Brand</t>
  </si>
  <si>
    <t>Brand Chinese Name</t>
  </si>
  <si>
    <t>Company</t>
  </si>
  <si>
    <t>Brand Share / Company</t>
  </si>
  <si>
    <t>Brand Share / Industry</t>
  </si>
  <si>
    <t>Exchange Rate</t>
  </si>
  <si>
    <t>Currency</t>
  </si>
  <si>
    <t>Country</t>
  </si>
  <si>
    <t>1.1 Total Industry Revenue / USD</t>
  </si>
  <si>
    <t>1.2 Consumer Gender</t>
  </si>
  <si>
    <t>1.3 Number of Consumers</t>
  </si>
  <si>
    <t>1.4 Consumer Age</t>
  </si>
  <si>
    <t>1.5 Consumer Per Capita Expenditure / USD</t>
  </si>
  <si>
    <t>1.6 Number of Competitors</t>
  </si>
  <si>
    <t>2.1 Company Revenue</t>
  </si>
  <si>
    <t>2.1 Company Revenue / USD</t>
  </si>
  <si>
    <t>2.2 Market Share</t>
  </si>
  <si>
    <t>2.3 Earnings per Share</t>
  </si>
  <si>
    <t>2.3 Earnings per Share / USD</t>
  </si>
  <si>
    <t>2.4 Number of Company Stores</t>
  </si>
  <si>
    <t>2.5 Number of Employees</t>
  </si>
  <si>
    <t>Establishment Year</t>
  </si>
  <si>
    <t>2.6 Company History / Years</t>
  </si>
  <si>
    <t>2.7 Brand Revenue</t>
  </si>
  <si>
    <t>2.7 Brand Revenue / USD</t>
  </si>
  <si>
    <t>2.9 Number of Brand Stores</t>
  </si>
  <si>
    <t>2.10 Brand History / Years</t>
  </si>
  <si>
    <t>2.11 Brand Logo</t>
  </si>
  <si>
    <t>2.12 Representative Color</t>
  </si>
  <si>
    <t>3.1 Number of Extension Categories</t>
  </si>
  <si>
    <t>3.2 Number of Sub-brands</t>
  </si>
  <si>
    <t>3.3 Number of Countries Expanded Into</t>
  </si>
  <si>
    <t>3.4 Number of Co-brands</t>
  </si>
  <si>
    <t>4.1 Style</t>
  </si>
  <si>
    <t>4.2 Product Price</t>
  </si>
  <si>
    <t>4.3 Channel Selection</t>
  </si>
  <si>
    <t>INS / 10,000</t>
  </si>
  <si>
    <t>Facebook</t>
  </si>
  <si>
    <t>Twitter</t>
  </si>
  <si>
    <t>4.4 Social Media Followers / Million</t>
  </si>
  <si>
    <t>4.7 Advertising Expenditure</t>
  </si>
  <si>
    <t>4.5 Advertising Expenditure / USD</t>
  </si>
  <si>
    <t>4.6 Number of Key Opinion Leader Connections</t>
  </si>
  <si>
    <t>1. Brand Positioning</t>
  </si>
  <si>
    <t>2. Brand Image</t>
  </si>
  <si>
    <t>3. Brand Extension</t>
  </si>
  <si>
    <t>4. Brand Marketing</t>
  </si>
  <si>
    <t>Industry Average</t>
  </si>
  <si>
    <t>Industry</t>
  </si>
  <si>
    <t>N/A</t>
  </si>
  <si>
    <t>EUR to USD (LVMH)</t>
  </si>
  <si>
    <t>USD</t>
  </si>
  <si>
    <t>THE NORTH FACE</t>
  </si>
  <si>
    <t>北面</t>
  </si>
  <si>
    <t>VF Corporation</t>
  </si>
  <si>
    <t>EUR to USD (Kering)</t>
  </si>
  <si>
    <t>United States</t>
  </si>
  <si>
    <t>TIMBERLAND</t>
  </si>
  <si>
    <t>添柏岚</t>
  </si>
  <si>
    <t>EUR to USD (Inditex)</t>
  </si>
  <si>
    <t>VANS</t>
  </si>
  <si>
    <t>范斯</t>
  </si>
  <si>
    <t>NAPAPIJRI</t>
  </si>
  <si>
    <t>无</t>
  </si>
  <si>
    <t>JANSPORT</t>
  </si>
  <si>
    <t>杰斯伯</t>
  </si>
  <si>
    <t>SUPREME</t>
  </si>
  <si>
    <t>苏博瑞</t>
  </si>
  <si>
    <t>ROCK&amp;REPUBLIC</t>
  </si>
  <si>
    <t>摇滚和平</t>
  </si>
  <si>
    <t>DICKIES</t>
  </si>
  <si>
    <t>迪凯斯</t>
  </si>
  <si>
    <t>LEE</t>
  </si>
  <si>
    <t>李</t>
  </si>
  <si>
    <t>WRANGLER</t>
  </si>
  <si>
    <t>威格</t>
  </si>
  <si>
    <t>Christian Dior</t>
  </si>
  <si>
    <t>CHRISTIAN DIOR</t>
  </si>
  <si>
    <t>克里斯汀·迪奥</t>
  </si>
  <si>
    <t>LVMH Moët Hennessy-Louis Vuitton SE</t>
  </si>
  <si>
    <t>France</t>
  </si>
  <si>
    <t>EUR</t>
  </si>
  <si>
    <t>Emilio Pucci</t>
  </si>
  <si>
    <t>EMILIO PUCCI</t>
  </si>
  <si>
    <t>璞琪</t>
  </si>
  <si>
    <t>Fendi</t>
  </si>
  <si>
    <t>FENDI</t>
  </si>
  <si>
    <t>芬迪</t>
  </si>
  <si>
    <t>Loewe</t>
  </si>
  <si>
    <t>LOEWE</t>
  </si>
  <si>
    <t>罗意威</t>
  </si>
  <si>
    <t>Loro Piana</t>
  </si>
  <si>
    <t>LORO PIANA</t>
  </si>
  <si>
    <t>洛罗皮亚纳</t>
  </si>
  <si>
    <t>Louis Vuitton</t>
  </si>
  <si>
    <t>LOUIS VUITTON</t>
  </si>
  <si>
    <t>路易·威登</t>
  </si>
  <si>
    <t>Marc Jacobs</t>
  </si>
  <si>
    <t>MARC JACOBS</t>
  </si>
  <si>
    <t>马克·雅可布</t>
  </si>
  <si>
    <t>Alexander McQueen</t>
  </si>
  <si>
    <t>ALEXANDER MCQUEEN</t>
  </si>
  <si>
    <t>亚历山大·麦昆</t>
  </si>
  <si>
    <t>Kering SA</t>
  </si>
  <si>
    <t>Balenciaga</t>
  </si>
  <si>
    <t>BALENCIAGA</t>
  </si>
  <si>
    <t>巴黎世家</t>
  </si>
  <si>
    <t>Bottega Veneta</t>
  </si>
  <si>
    <t>BOTTEGA VENETA</t>
  </si>
  <si>
    <t>葆蝶家</t>
  </si>
  <si>
    <t>Gucci</t>
  </si>
  <si>
    <t>GUCCI</t>
  </si>
  <si>
    <t>古驰</t>
  </si>
  <si>
    <t>Yves Saint Laurent</t>
  </si>
  <si>
    <t>YVES SAINT LAURENT</t>
  </si>
  <si>
    <t>圣罗兰</t>
  </si>
  <si>
    <t>ZARA</t>
  </si>
  <si>
    <t>飒拉</t>
  </si>
  <si>
    <t>Inditex</t>
  </si>
  <si>
    <t>Spain</t>
  </si>
  <si>
    <t>BERSHKA</t>
  </si>
  <si>
    <t>巴适卡</t>
  </si>
  <si>
    <t>MASSIMO DUTTI</t>
  </si>
  <si>
    <t>玛西莫·都蒂</t>
  </si>
  <si>
    <t>OYSHO</t>
  </si>
  <si>
    <t>奥依修</t>
  </si>
  <si>
    <t>PULL AND BEAR</t>
  </si>
  <si>
    <t>普伦贝尔</t>
  </si>
  <si>
    <t>STRADIVARIUS</t>
  </si>
  <si>
    <t>斯特拉迪瓦里斯</t>
  </si>
  <si>
    <t>Michael Kors</t>
  </si>
  <si>
    <t>MICHAEL KORS</t>
  </si>
  <si>
    <t>迈克·高仕</t>
  </si>
  <si>
    <t>Capri Holdings Limited</t>
  </si>
  <si>
    <t>Versace</t>
  </si>
  <si>
    <t>VERSACE</t>
  </si>
  <si>
    <t>范思哲</t>
  </si>
  <si>
    <t>Italy</t>
  </si>
  <si>
    <t>Acne Studios</t>
  </si>
  <si>
    <t>ACNE STUDIOS</t>
  </si>
  <si>
    <t>Acne Studios Holding AB</t>
  </si>
  <si>
    <t>246(2020)</t>
  </si>
  <si>
    <t>ADIDAS</t>
  </si>
  <si>
    <t>21894.06(2020)</t>
  </si>
  <si>
    <t>Alberta Ferretti</t>
  </si>
  <si>
    <t>ALBERTA FERRETTI</t>
  </si>
  <si>
    <t>Aeffe SpA</t>
  </si>
  <si>
    <t>Brunello Cucinelli</t>
  </si>
  <si>
    <t>BRUNELLO CUCINELLI</t>
  </si>
  <si>
    <t>Brunello Cucinelli SpA</t>
  </si>
  <si>
    <t>Burberry</t>
  </si>
  <si>
    <t>BURBERRY</t>
  </si>
  <si>
    <t>Burberry Group plc</t>
  </si>
  <si>
    <t>GBP</t>
  </si>
  <si>
    <t>Canada Goose</t>
  </si>
  <si>
    <t>CANADA GOOSE</t>
  </si>
  <si>
    <t>Canada Goose Holdings Inc.</t>
  </si>
  <si>
    <t>Chanel</t>
  </si>
  <si>
    <t>CHANEL</t>
  </si>
  <si>
    <t>Chanel Limited</t>
  </si>
  <si>
    <t>10108(2020)</t>
  </si>
  <si>
    <t>Chloé</t>
  </si>
  <si>
    <t>CHLOÉ</t>
  </si>
  <si>
    <t>Compagnie Financière Richemont SA</t>
  </si>
  <si>
    <t>16177.93(2020)</t>
  </si>
  <si>
    <t>JOOP!</t>
  </si>
  <si>
    <t>Coty Inc.</t>
  </si>
  <si>
    <t>Pinko</t>
  </si>
  <si>
    <t>PINKO</t>
  </si>
  <si>
    <t>Cris Conf SpA</t>
  </si>
  <si>
    <t>187(2020)</t>
  </si>
  <si>
    <t>Sting</t>
  </si>
  <si>
    <t>STING</t>
  </si>
  <si>
    <t>De Rigo SpA</t>
  </si>
  <si>
    <t>394(2020)</t>
  </si>
  <si>
    <t>Dolce&amp;Gabbana</t>
  </si>
  <si>
    <t>DOLCE&amp;GABBANA</t>
  </si>
  <si>
    <t>Dolce &amp; Gabbana</t>
  </si>
  <si>
    <t>1317(2020)</t>
  </si>
  <si>
    <t>Ermenegildo Zegna</t>
  </si>
  <si>
    <t>ERMENEGILDO ZEGNA</t>
  </si>
  <si>
    <t>Ermenegildo Zegna Holditalia SpA</t>
  </si>
  <si>
    <t>1183(2020)</t>
  </si>
  <si>
    <t>Ermenegildo Zegna XXX Couture</t>
  </si>
  <si>
    <t>ERMENEGILDO ZEGNA XXX COUTURE</t>
  </si>
  <si>
    <t>THOM BROWNE. New York</t>
  </si>
  <si>
    <t>THOM BROWNE. NEW YORK</t>
  </si>
  <si>
    <t>Z Zegna</t>
  </si>
  <si>
    <t>Z ZEGNA</t>
  </si>
  <si>
    <t>Moschino</t>
  </si>
  <si>
    <t>MOSCHINO</t>
  </si>
  <si>
    <t>Euroitalia S.r.l.</t>
  </si>
  <si>
    <r>
      <rPr>
        <sz val="12"/>
        <color theme="1"/>
        <rFont val="宋体"/>
        <charset val="134"/>
      </rPr>
      <t>456</t>
    </r>
    <r>
      <rPr>
        <sz val="6"/>
        <color rgb="FF333740"/>
        <rFont val="OpenSans"/>
        <charset val="134"/>
      </rPr>
      <t>(2020)</t>
    </r>
  </si>
  <si>
    <t>Naj-Oleari</t>
  </si>
  <si>
    <t>NAJ-OLEARI</t>
  </si>
  <si>
    <t>Reporter</t>
  </si>
  <si>
    <t>REPORTER</t>
  </si>
  <si>
    <t>Heron Preston</t>
  </si>
  <si>
    <t>HERON PRESTON</t>
  </si>
  <si>
    <t>Farfetch Limited</t>
  </si>
  <si>
    <t>1674(2020)</t>
  </si>
  <si>
    <t>Marcelo Burlon County of Milan</t>
  </si>
  <si>
    <t>MARCELO BURLON COUNTY OF MILAN</t>
  </si>
  <si>
    <t>Off-White</t>
  </si>
  <si>
    <t>OFF-WHITE</t>
  </si>
  <si>
    <t>Palm Angels</t>
  </si>
  <si>
    <t>PALM ANGELS</t>
  </si>
  <si>
    <t>Replay</t>
  </si>
  <si>
    <t>REPLAY</t>
  </si>
  <si>
    <t>Fashion Box SpA</t>
  </si>
  <si>
    <t>267(2020)</t>
  </si>
  <si>
    <t>UNIQLO</t>
  </si>
  <si>
    <t>FAST RETAILING</t>
  </si>
  <si>
    <t>Fossil</t>
  </si>
  <si>
    <t>FOSSIL</t>
  </si>
  <si>
    <t>Fossil Group, Inc.</t>
  </si>
  <si>
    <t>1613.34(2020)</t>
  </si>
  <si>
    <t>Michele</t>
  </si>
  <si>
    <t>MICHELE</t>
  </si>
  <si>
    <t>Relic</t>
  </si>
  <si>
    <t>RELIC</t>
  </si>
  <si>
    <t>Etro</t>
  </si>
  <si>
    <t>ETRO</t>
  </si>
  <si>
    <t>Gefin SpA</t>
  </si>
  <si>
    <t>222(2020)</t>
  </si>
  <si>
    <t>A|X Armani Exchange</t>
  </si>
  <si>
    <t>A|X ARMANI EXCHANGE</t>
  </si>
  <si>
    <t>Giorgio Armani SpA</t>
  </si>
  <si>
    <t>1837(2020)</t>
  </si>
  <si>
    <t>Emporio Armani</t>
  </si>
  <si>
    <t>EMPORIO ARMANI</t>
  </si>
  <si>
    <t>Giorgio Armani</t>
  </si>
  <si>
    <t>GIORGIO ARMANI</t>
  </si>
  <si>
    <t>Golden Goose</t>
  </si>
  <si>
    <t>GOLDEN GOOSE</t>
  </si>
  <si>
    <t>Golden Goose SpA</t>
  </si>
  <si>
    <t>299(2020)</t>
  </si>
  <si>
    <t>H&amp;M</t>
  </si>
  <si>
    <t>Hermès</t>
  </si>
  <si>
    <t>HERMÈS</t>
  </si>
  <si>
    <t>Hermès International SCA</t>
  </si>
  <si>
    <t>BOSS</t>
  </si>
  <si>
    <t>Hugo Boss AG</t>
  </si>
  <si>
    <t>2146.87(2020)</t>
  </si>
  <si>
    <t>HUGO</t>
  </si>
  <si>
    <t>Lanvin</t>
  </si>
  <si>
    <t>LANVIN</t>
  </si>
  <si>
    <t>Inter Parfums, Inc.</t>
  </si>
  <si>
    <t>Rochas</t>
  </si>
  <si>
    <t>ROCHAS</t>
  </si>
  <si>
    <t>Barbour</t>
  </si>
  <si>
    <t>BARBOUR</t>
  </si>
  <si>
    <t>J Barbour &amp; Sons Ltd</t>
  </si>
  <si>
    <t>307(2020)</t>
  </si>
  <si>
    <t>Glo</t>
  </si>
  <si>
    <t>GLO</t>
  </si>
  <si>
    <t>Kalyan Jewellers India Pvt. Limited</t>
  </si>
  <si>
    <t>1435(2020)</t>
  </si>
  <si>
    <t>Mudhra</t>
  </si>
  <si>
    <t>MUDHRA</t>
  </si>
  <si>
    <t>JILL STUART</t>
  </si>
  <si>
    <t>Kosé Corporation</t>
  </si>
  <si>
    <t>3014(2020)</t>
  </si>
  <si>
    <t>DOCKERS</t>
  </si>
  <si>
    <t>Levi Strauss</t>
  </si>
  <si>
    <t>LEVI'S</t>
  </si>
  <si>
    <t>Liu.Jo</t>
  </si>
  <si>
    <t>LIU.JO</t>
  </si>
  <si>
    <t>Liu.Jo SpA</t>
  </si>
  <si>
    <t>355(2020)</t>
  </si>
  <si>
    <t>MARC O’POLO</t>
  </si>
  <si>
    <t>Marc O'Polo AG</t>
  </si>
  <si>
    <t>422(2020)</t>
  </si>
  <si>
    <t>Marina Rinaldi</t>
  </si>
  <si>
    <t>MARINA RINALDI</t>
  </si>
  <si>
    <t>Max Mara Fashion Group Srl</t>
  </si>
  <si>
    <t>1400(2020)</t>
  </si>
  <si>
    <t>Max &amp; Co</t>
  </si>
  <si>
    <t>MAX &amp;  CO</t>
  </si>
  <si>
    <t>MaxMara</t>
  </si>
  <si>
    <t>MAXMARA</t>
  </si>
  <si>
    <t>PennyBlack</t>
  </si>
  <si>
    <t>PENNYBLACK</t>
  </si>
  <si>
    <t>SportMax</t>
  </si>
  <si>
    <t>SPORTMAX</t>
  </si>
  <si>
    <t>Moncler</t>
  </si>
  <si>
    <t>MONCLER</t>
  </si>
  <si>
    <t>Moncler SpA</t>
  </si>
  <si>
    <t>1589.22(2020)</t>
  </si>
  <si>
    <t>Nike</t>
  </si>
  <si>
    <t>NIKE</t>
  </si>
  <si>
    <t>11372.39(2020)</t>
  </si>
  <si>
    <t>Jil Sander</t>
  </si>
  <si>
    <t>JIL SANDER</t>
  </si>
  <si>
    <t>Onward Holdings Co., Ltd.</t>
  </si>
  <si>
    <t>2277(2020)</t>
  </si>
  <si>
    <t>Joseph</t>
  </si>
  <si>
    <t>JOSEPH</t>
  </si>
  <si>
    <t>Kashimaya</t>
  </si>
  <si>
    <t>KASHIMAYA</t>
  </si>
  <si>
    <t>Nijyusanku</t>
  </si>
  <si>
    <t>NIJYUSANKU</t>
  </si>
  <si>
    <t>Diesel</t>
  </si>
  <si>
    <t>DIESEL</t>
  </si>
  <si>
    <t>OTB SpA</t>
  </si>
  <si>
    <t>1500(2020)</t>
  </si>
  <si>
    <t>Maison Margiela</t>
  </si>
  <si>
    <t>MAISON MARGIELA</t>
  </si>
  <si>
    <t>Marni</t>
  </si>
  <si>
    <t>MARNI</t>
  </si>
  <si>
    <t>Viktor &amp; Rolf</t>
  </si>
  <si>
    <t>VIKTOR&amp;ROLF</t>
  </si>
  <si>
    <t>Paul Smith</t>
  </si>
  <si>
    <t>PAUL SMITH</t>
  </si>
  <si>
    <t>Paul Smith Group Holdings Limited</t>
  </si>
  <si>
    <t>223(2020)</t>
  </si>
  <si>
    <t>Miu Miu</t>
  </si>
  <si>
    <t>MIU MIU</t>
  </si>
  <si>
    <t>Prada Group</t>
  </si>
  <si>
    <t>Prada</t>
  </si>
  <si>
    <t>PRADA</t>
  </si>
  <si>
    <t>Carolina Herrera</t>
  </si>
  <si>
    <t>CAROLINA HERRERA</t>
  </si>
  <si>
    <t>Puig S.L.</t>
  </si>
  <si>
    <t>1752(2020)</t>
  </si>
  <si>
    <t>Jean Paul Gaultier</t>
  </si>
  <si>
    <t>JEAN PAUL GAULTIER</t>
  </si>
  <si>
    <t>Paco Rabanne</t>
  </si>
  <si>
    <t>PACO RABANNE</t>
  </si>
  <si>
    <t>Calvin Klein</t>
  </si>
  <si>
    <t>CALVIN KLEIN</t>
  </si>
  <si>
    <t>PVH Corp.</t>
  </si>
  <si>
    <t>7130(2020)</t>
  </si>
  <si>
    <t>Tommy Hilfiger</t>
  </si>
  <si>
    <t>TOMMY HILFIGER</t>
  </si>
  <si>
    <t>Lauren Ralph Lauren</t>
  </si>
  <si>
    <t>LAUREN RALPH LAUREN</t>
  </si>
  <si>
    <t>Ralph Lauren Corporation</t>
  </si>
  <si>
    <t>Polo Ralph Lauren</t>
  </si>
  <si>
    <t>POLO RALPH LAUREN</t>
  </si>
  <si>
    <t>Ralph Lauren</t>
  </si>
  <si>
    <t>RALPH LAUREN</t>
  </si>
  <si>
    <t>Rolex</t>
  </si>
  <si>
    <t>ROLEX</t>
  </si>
  <si>
    <t>Rolex SA</t>
  </si>
  <si>
    <t>6177(2020)</t>
  </si>
  <si>
    <t>Salvatore Ferragamo</t>
  </si>
  <si>
    <t>SALVATORE FERRAGAMO</t>
  </si>
  <si>
    <t>Salvatore Ferragamo SpA</t>
  </si>
  <si>
    <t>1010.44(2020)</t>
  </si>
  <si>
    <t>Mackintosh</t>
  </si>
  <si>
    <t>MACKINTOSH</t>
  </si>
  <si>
    <t>Sanyo Shokai Ltd.</t>
  </si>
  <si>
    <r>
      <rPr>
        <sz val="12"/>
        <color theme="1"/>
        <rFont val="宋体"/>
        <charset val="134"/>
      </rPr>
      <t xml:space="preserve">541 </t>
    </r>
    <r>
      <rPr>
        <sz val="6"/>
        <color rgb="FF333740"/>
        <rFont val="OpenSans"/>
        <charset val="134"/>
      </rPr>
      <t>e(2020)</t>
    </r>
  </si>
  <si>
    <t>Paul Stuart</t>
  </si>
  <si>
    <t>PAUL STUART</t>
  </si>
  <si>
    <t>Claudie Pierlot</t>
  </si>
  <si>
    <t>CLAUDIE PIERLOT</t>
  </si>
  <si>
    <t>SMCP SAS</t>
  </si>
  <si>
    <t>995(2020)</t>
  </si>
  <si>
    <t>De Fursac</t>
  </si>
  <si>
    <t>DE FURSAC</t>
  </si>
  <si>
    <t>Maje</t>
  </si>
  <si>
    <t>MAJE</t>
  </si>
  <si>
    <t>Sandro</t>
  </si>
  <si>
    <t>SANDRO</t>
  </si>
  <si>
    <t>Purificación García</t>
  </si>
  <si>
    <t>PURIFICACIÓN GARCÍA</t>
  </si>
  <si>
    <t>Sociedad Textil Lonia SA</t>
  </si>
  <si>
    <t>419(2020)</t>
  </si>
  <si>
    <t>Stone Island</t>
  </si>
  <si>
    <t>STONE ISLAND</t>
  </si>
  <si>
    <t>Sportswear Company SpA</t>
  </si>
  <si>
    <t>271(2020)</t>
  </si>
  <si>
    <t>Kate Spade</t>
  </si>
  <si>
    <t>KATE SPADE</t>
  </si>
  <si>
    <t>Tapestry, Inc.</t>
  </si>
  <si>
    <t>4961(2020)</t>
  </si>
  <si>
    <t>Ted Baker</t>
  </si>
  <si>
    <t>TED BAKER</t>
  </si>
  <si>
    <t>Ted Baker plc</t>
  </si>
  <si>
    <t>Hobbs</t>
  </si>
  <si>
    <t>HOBBS</t>
  </si>
  <si>
    <t>TFG Brands(London) Limited)</t>
  </si>
  <si>
    <t>495(2020)</t>
  </si>
  <si>
    <t>Phase Eight</t>
  </si>
  <si>
    <t>PHASE EIGHT</t>
  </si>
  <si>
    <t>Whistles</t>
  </si>
  <si>
    <t>WHISTLES</t>
  </si>
  <si>
    <t>GAP</t>
  </si>
  <si>
    <t>The Gap</t>
  </si>
  <si>
    <t>Fay</t>
  </si>
  <si>
    <t>FAY</t>
  </si>
  <si>
    <t>TOD'S SpA</t>
  </si>
  <si>
    <t>702.93(2020)</t>
  </si>
  <si>
    <t>Tory Burch</t>
  </si>
  <si>
    <t>TORY BURCH</t>
  </si>
  <si>
    <t>Tory Burch LLC</t>
  </si>
  <si>
    <t>1200^e(2020)</t>
  </si>
  <si>
    <t>Tory Sport</t>
  </si>
  <si>
    <t>TORY SPORT</t>
  </si>
  <si>
    <t>True Religion</t>
  </si>
  <si>
    <t>TRUE RELIGION</t>
  </si>
  <si>
    <t>True Religion Apparel, Inc.</t>
  </si>
  <si>
    <t>REDValentino</t>
  </si>
  <si>
    <t>REDVALENTINO</t>
  </si>
  <si>
    <t>Valentino SpA</t>
  </si>
  <si>
    <t>1005(2020)</t>
  </si>
  <si>
    <t>Valentino</t>
  </si>
  <si>
    <t>VALENTINO</t>
  </si>
  <si>
    <t>Zadig &amp; Voltaire</t>
  </si>
  <si>
    <t>ZADIG &amp; VOLTAIRE</t>
  </si>
  <si>
    <t>388^e(2020)</t>
  </si>
  <si>
    <t>AND1 LAB</t>
  </si>
  <si>
    <t>ANTA</t>
  </si>
  <si>
    <t>ASOS</t>
  </si>
  <si>
    <t>CELINE</t>
  </si>
  <si>
    <t>CHAMPION</t>
  </si>
  <si>
    <t>COLUMBIA</t>
  </si>
  <si>
    <t>DENIZEN</t>
  </si>
  <si>
    <t>DKNY</t>
  </si>
  <si>
    <t>DONNA KARAN</t>
  </si>
  <si>
    <t>DUNHILL</t>
  </si>
  <si>
    <t>ELIZA J</t>
  </si>
  <si>
    <t>FERRAGAMO</t>
  </si>
  <si>
    <t>GIVENCHY</t>
  </si>
  <si>
    <t>GUESS</t>
  </si>
  <si>
    <t xml:space="preserve">GUNZE </t>
  </si>
  <si>
    <t>HANES</t>
  </si>
  <si>
    <t>IICEBREAKER</t>
  </si>
  <si>
    <t>JACK&amp;JONES</t>
  </si>
  <si>
    <t>JASSICA SIMPSON</t>
  </si>
  <si>
    <t>JESSICA HOWARD</t>
  </si>
  <si>
    <t>JUST MY SIZE</t>
  </si>
  <si>
    <t>KARL LAGERFELD PARIIS</t>
  </si>
  <si>
    <t>KENNETH COLE NEW YORK</t>
  </si>
  <si>
    <t>KENSIE</t>
  </si>
  <si>
    <t>KENZO</t>
  </si>
  <si>
    <t>LILLY PULITZER</t>
  </si>
  <si>
    <t>LULULEMON</t>
  </si>
  <si>
    <t>MOUNTAIN HARDWEAR</t>
  </si>
  <si>
    <t>MUJI</t>
  </si>
  <si>
    <t>ONLY</t>
  </si>
  <si>
    <t>PETER MILAR</t>
  </si>
  <si>
    <t>PRANA</t>
  </si>
  <si>
    <t>PUMA</t>
  </si>
  <si>
    <t>SELECTED</t>
  </si>
  <si>
    <t>SEMIR</t>
  </si>
  <si>
    <t>SOREL</t>
  </si>
  <si>
    <t>SOUTHERN TIDE</t>
  </si>
  <si>
    <t>THOMAS PINK</t>
  </si>
  <si>
    <t>TOMMY BAHAMA</t>
  </si>
  <si>
    <t>UNDER ARMOUR</t>
  </si>
  <si>
    <t>UNITED ARROWS</t>
  </si>
  <si>
    <t>VEROMODA</t>
  </si>
  <si>
    <t>VINCE CAMUTO</t>
  </si>
  <si>
    <t>WARNER'S</t>
  </si>
  <si>
    <t>YOUNGOR</t>
  </si>
  <si>
    <t>Total 91,680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</si>
</sst>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0.00_);[Red]\(0.00\)"/>
  </numFmts>
  <fonts count="50">
    <font>
      <sz val="12"/>
      <color theme="1"/>
      <name val="宋体"/>
      <charset val="134"/>
    </font>
    <font>
      <sz val="12"/>
      <color rgb="FFC00000"/>
      <name val="宋体"/>
      <charset val="134"/>
    </font>
    <font>
      <sz val="10"/>
      <color rgb="FF0F283E"/>
      <name val="Open Sans Light"/>
      <charset val="134"/>
    </font>
    <font>
      <b/>
      <sz val="12"/>
      <color theme="1"/>
      <name val="宋体"/>
      <charset val="134"/>
    </font>
    <font>
      <sz val="10"/>
      <color theme="1"/>
      <name val="Open Sans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0"/>
      <color rgb="FF0F283E"/>
      <name val="ArialMT"/>
      <charset val="134"/>
    </font>
    <font>
      <sz val="10"/>
      <color rgb="FF0645AD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Arial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b/>
      <sz val="11"/>
      <color rgb="FFFFFFFF"/>
      <name val="宋体"/>
      <charset val="134"/>
    </font>
    <font>
      <b/>
      <sz val="11"/>
      <color rgb="FF3F3F3F"/>
      <name val="宋体"/>
      <charset val="134"/>
    </font>
    <font>
      <b/>
      <sz val="15"/>
      <color theme="3"/>
      <name val="宋体"/>
      <charset val="134"/>
    </font>
    <font>
      <i/>
      <sz val="11"/>
      <color rgb="FF7F7F7F"/>
      <name val="宋体"/>
      <charset val="134"/>
    </font>
    <font>
      <b/>
      <sz val="11"/>
      <color theme="3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b/>
      <sz val="13"/>
      <color theme="3"/>
      <name val="宋体"/>
      <charset val="134"/>
    </font>
    <font>
      <sz val="11"/>
      <color rgb="FFFA7D00"/>
      <name val="宋体"/>
      <charset val="134"/>
    </font>
    <font>
      <sz val="6"/>
      <color rgb="FF333740"/>
      <name val="OpenSans"/>
      <charset val="134"/>
    </font>
  </fonts>
  <fills count="6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599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F283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100"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0" borderId="0"/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2" fillId="42" borderId="5" applyNumberFormat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3" fillId="51" borderId="5" applyNumberFormat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8" fillId="58" borderId="7" applyNumberFormat="0" applyAlignment="0" applyProtection="0">
      <alignment vertical="center"/>
    </xf>
    <xf numFmtId="0" fontId="39" fillId="51" borderId="6" applyNumberFormat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6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0" fillId="63" borderId="2" applyNumberFormat="0" applyFont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0" borderId="0"/>
    <xf numFmtId="0" fontId="42" fillId="0" borderId="10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48" fillId="0" borderId="8" applyNumberFormat="0" applyFill="0" applyAlignment="0" applyProtection="0">
      <alignment vertical="center"/>
    </xf>
  </cellStyleXfs>
  <cellXfs count="37">
    <xf numFmtId="0" fontId="0" fillId="0" borderId="0" xfId="49">
      <alignment vertical="center"/>
    </xf>
    <xf numFmtId="0" fontId="0" fillId="0" borderId="0" xfId="49" applyFill="1">
      <alignment vertical="center"/>
    </xf>
    <xf numFmtId="0" fontId="0" fillId="2" borderId="0" xfId="49" applyFill="1">
      <alignment vertical="center"/>
    </xf>
    <xf numFmtId="0" fontId="0" fillId="3" borderId="0" xfId="49" applyFill="1">
      <alignment vertical="center"/>
    </xf>
    <xf numFmtId="180" fontId="0" fillId="0" borderId="0" xfId="49" applyNumberFormat="1">
      <alignment vertical="center"/>
    </xf>
    <xf numFmtId="0" fontId="0" fillId="4" borderId="0" xfId="49" applyFill="1">
      <alignment vertical="center"/>
    </xf>
    <xf numFmtId="0" fontId="0" fillId="5" borderId="0" xfId="49" applyFill="1">
      <alignment vertical="center"/>
    </xf>
    <xf numFmtId="0" fontId="0" fillId="6" borderId="0" xfId="49" applyFill="1">
      <alignment vertical="center"/>
    </xf>
    <xf numFmtId="0" fontId="0" fillId="0" borderId="0" xfId="49" applyFill="1" applyAlignment="1">
      <alignment vertical="center"/>
    </xf>
    <xf numFmtId="0" fontId="0" fillId="3" borderId="0" xfId="49" applyFill="1" applyAlignment="1">
      <alignment vertical="center"/>
    </xf>
    <xf numFmtId="0" fontId="0" fillId="7" borderId="0" xfId="49" applyFill="1">
      <alignment vertical="center"/>
    </xf>
    <xf numFmtId="10" fontId="0" fillId="0" borderId="0" xfId="49" applyNumberFormat="1" applyFill="1">
      <alignment vertical="center"/>
    </xf>
    <xf numFmtId="9" fontId="0" fillId="0" borderId="0" xfId="49" applyNumberFormat="1" applyFill="1">
      <alignment vertical="center"/>
    </xf>
    <xf numFmtId="0" fontId="1" fillId="6" borderId="0" xfId="49" applyFont="1" applyFill="1">
      <alignment vertical="center"/>
    </xf>
    <xf numFmtId="0" fontId="2" fillId="0" borderId="0" xfId="95" applyFont="1" applyFill="1" applyAlignment="1">
      <alignment horizontal="left"/>
    </xf>
    <xf numFmtId="0" fontId="2" fillId="0" borderId="1" xfId="95" applyFont="1" applyFill="1" applyBorder="1" applyAlignment="1">
      <alignment horizontal="left"/>
    </xf>
    <xf numFmtId="3" fontId="0" fillId="0" borderId="0" xfId="49" applyNumberFormat="1">
      <alignment vertical="center"/>
    </xf>
    <xf numFmtId="3" fontId="0" fillId="0" borderId="0" xfId="49" applyNumberFormat="1" applyFill="1">
      <alignment vertical="center"/>
    </xf>
    <xf numFmtId="0" fontId="3" fillId="0" borderId="0" xfId="49" applyFont="1" applyFill="1">
      <alignment vertical="center"/>
    </xf>
    <xf numFmtId="3" fontId="2" fillId="0" borderId="1" xfId="95" applyNumberFormat="1" applyFont="1" applyFill="1" applyBorder="1" applyAlignment="1">
      <alignment horizontal="right"/>
    </xf>
    <xf numFmtId="0" fontId="0" fillId="0" borderId="0" xfId="49" applyFont="1" applyFill="1">
      <alignment vertical="center"/>
    </xf>
    <xf numFmtId="180" fontId="1" fillId="4" borderId="0" xfId="49" applyNumberFormat="1" applyFont="1" applyFill="1">
      <alignment vertical="center"/>
    </xf>
    <xf numFmtId="0" fontId="1" fillId="4" borderId="0" xfId="49" applyFont="1" applyFill="1">
      <alignment vertical="center"/>
    </xf>
    <xf numFmtId="10" fontId="0" fillId="0" borderId="0" xfId="49" applyNumberFormat="1">
      <alignment vertical="center"/>
    </xf>
    <xf numFmtId="180" fontId="0" fillId="0" borderId="0" xfId="49" applyNumberFormat="1" applyFill="1">
      <alignment vertical="center"/>
    </xf>
    <xf numFmtId="0" fontId="0" fillId="4" borderId="0" xfId="49" applyFill="1" applyAlignment="1">
      <alignment vertical="center" wrapText="1"/>
    </xf>
    <xf numFmtId="3" fontId="2" fillId="0" borderId="0" xfId="95" applyNumberFormat="1" applyFont="1" applyFill="1" applyAlignment="1">
      <alignment horizontal="right"/>
    </xf>
    <xf numFmtId="0" fontId="4" fillId="0" borderId="0" xfId="49" applyFont="1" applyFill="1" applyAlignment="1">
      <alignment horizontal="left"/>
    </xf>
    <xf numFmtId="0" fontId="5" fillId="0" borderId="0" xfId="49" applyFont="1" applyFill="1">
      <alignment vertical="center"/>
    </xf>
    <xf numFmtId="0" fontId="1" fillId="7" borderId="0" xfId="49" applyFont="1" applyFill="1">
      <alignment vertical="center"/>
    </xf>
    <xf numFmtId="0" fontId="6" fillId="6" borderId="0" xfId="49" applyFont="1" applyFill="1">
      <alignment vertical="center"/>
    </xf>
    <xf numFmtId="0" fontId="6" fillId="0" borderId="0" xfId="49" applyFont="1" applyFill="1">
      <alignment vertical="center"/>
    </xf>
    <xf numFmtId="0" fontId="0" fillId="8" borderId="0" xfId="49" applyFill="1">
      <alignment vertical="center"/>
    </xf>
    <xf numFmtId="3" fontId="7" fillId="0" borderId="0" xfId="49" applyNumberFormat="1" applyFont="1" applyFill="1">
      <alignment vertical="center"/>
    </xf>
    <xf numFmtId="0" fontId="8" fillId="0" borderId="0" xfId="49" applyFont="1" applyFill="1">
      <alignment vertical="center"/>
    </xf>
    <xf numFmtId="10" fontId="0" fillId="3" borderId="0" xfId="49" applyNumberFormat="1" applyFill="1">
      <alignment vertical="center"/>
    </xf>
    <xf numFmtId="180" fontId="0" fillId="3" borderId="0" xfId="49" applyNumberFormat="1" applyFill="1">
      <alignment vertical="center"/>
    </xf>
  </cellXfs>
  <cellStyles count="10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  <cellStyle name="Standard 2" xfId="50"/>
    <cellStyle name="60% - 强调文字颜色 6" xfId="51"/>
    <cellStyle name="20% - 强调文字颜色 4" xfId="52"/>
    <cellStyle name="强调文字颜色 4" xfId="53"/>
    <cellStyle name="输入" xfId="54"/>
    <cellStyle name="40% - 强调文字颜色 3" xfId="55"/>
    <cellStyle name="20% - 强调文字颜色 3" xfId="56"/>
    <cellStyle name="货币" xfId="57"/>
    <cellStyle name="强调文字颜色 3" xfId="58"/>
    <cellStyle name="百分比" xfId="59"/>
    <cellStyle name="60% - 强调文字颜色 2" xfId="60"/>
    <cellStyle name="60% - 强调文字颜色 5" xfId="61"/>
    <cellStyle name="强调文字颜色 2" xfId="62"/>
    <cellStyle name="60% - 强调文字颜色 1" xfId="63"/>
    <cellStyle name="60% - 强调文字颜色 4" xfId="64"/>
    <cellStyle name="计算" xfId="65"/>
    <cellStyle name="强调文字颜色 1" xfId="66"/>
    <cellStyle name="适中" xfId="67"/>
    <cellStyle name="20% - 强调文字颜色 5" xfId="68"/>
    <cellStyle name="好" xfId="69"/>
    <cellStyle name="20% - 强调文字颜色 1" xfId="70"/>
    <cellStyle name="汇总" xfId="71"/>
    <cellStyle name="差" xfId="72"/>
    <cellStyle name="检查单元格" xfId="73"/>
    <cellStyle name="输出" xfId="74"/>
    <cellStyle name="标题 1" xfId="75"/>
    <cellStyle name="解释性文本" xfId="76"/>
    <cellStyle name="20% - 强调文字颜色 2" xfId="77"/>
    <cellStyle name="标题 4" xfId="78"/>
    <cellStyle name="货币[0]" xfId="79"/>
    <cellStyle name="40% - 强调文字颜色 4" xfId="80"/>
    <cellStyle name="千位分隔" xfId="81"/>
    <cellStyle name="已访问的超链接" xfId="82"/>
    <cellStyle name="标题" xfId="83"/>
    <cellStyle name="40% - 强调文字颜色 2" xfId="84"/>
    <cellStyle name="警告文本" xfId="85"/>
    <cellStyle name="60% - 强调文字颜色 3" xfId="86"/>
    <cellStyle name="注释" xfId="87"/>
    <cellStyle name="20% - 强调文字颜色 6" xfId="88"/>
    <cellStyle name="强调文字颜色 5" xfId="89"/>
    <cellStyle name="40% - 强调文字颜色 6" xfId="90"/>
    <cellStyle name="超链接" xfId="91"/>
    <cellStyle name="千位分隔[0]" xfId="92"/>
    <cellStyle name="标题 2" xfId="93"/>
    <cellStyle name="40% - 强调文字颜色 5" xfId="94"/>
    <cellStyle name="Normal 2" xfId="95"/>
    <cellStyle name="标题 3" xfId="96"/>
    <cellStyle name="强调文字颜色 6" xfId="97"/>
    <cellStyle name="40% - 强调文字颜色 1" xfId="98"/>
    <cellStyle name="链接单元格" xfId="99"/>
  </cellStyles>
  <dxfs count="18">
    <dxf>
      <fill>
        <patternFill patternType="solid">
          <bgColor theme="8" tint="0.7999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4"/>
  <sheetViews>
    <sheetView tabSelected="1" workbookViewId="0">
      <selection activeCell="B175" sqref="B175"/>
    </sheetView>
  </sheetViews>
  <sheetFormatPr defaultColWidth="9.14285714285714" defaultRowHeight="17.6"/>
  <cols>
    <col min="2" max="2" width="20.5714285714286" customWidth="1"/>
    <col min="3" max="3" width="12.9285714285714" hidden="1" customWidth="1"/>
    <col min="4" max="5" width="20.6160714285714" customWidth="1"/>
    <col min="6" max="6" width="24.6428571428571" customWidth="1"/>
    <col min="7" max="7" width="23.5" customWidth="1"/>
    <col min="8" max="8" width="20.5714285714286" hidden="1" customWidth="1"/>
    <col min="9" max="9" width="8" hidden="1" customWidth="1"/>
    <col min="10" max="11" width="5.85714285714286" hidden="1" customWidth="1"/>
    <col min="12" max="12" width="34.2142857142857" customWidth="1"/>
    <col min="13" max="13" width="21.8571428571429" customWidth="1"/>
    <col min="14" max="14" width="26.3571428571429" customWidth="1"/>
    <col min="15" max="15" width="15.3571428571429" customWidth="1"/>
    <col min="16" max="16" width="5.85714285714286" hidden="1" customWidth="1"/>
    <col min="17" max="17" width="45" customWidth="1"/>
    <col min="18" max="18" width="27.6428571428571" customWidth="1"/>
    <col min="19" max="19" width="5.85714285714286" hidden="1" customWidth="1"/>
    <col min="20" max="20" width="14.8571428571429" hidden="1" customWidth="1"/>
    <col min="21" max="21" width="29.4285714285714" style="4" customWidth="1"/>
    <col min="22" max="22" width="17.1428571428571" customWidth="1"/>
    <col min="23" max="23" width="5.85714285714286" hidden="1" customWidth="1"/>
    <col min="24" max="24" width="12.9285714285714" hidden="1" customWidth="1"/>
    <col min="25" max="25" width="29.9285714285714" customWidth="1"/>
    <col min="26" max="26" width="31.4285714285714" customWidth="1"/>
    <col min="27" max="27" width="26.1428571428571" customWidth="1"/>
    <col min="28" max="28" width="10.1785714285714" customWidth="1"/>
    <col min="29" max="29" width="29.3571428571429" customWidth="1"/>
    <col min="30" max="30" width="9.5" hidden="1" customWidth="1"/>
    <col min="31" max="31" width="19" hidden="1" customWidth="1"/>
    <col min="32" max="32" width="26.1428571428571" customWidth="1"/>
    <col min="33" max="33" width="28.0714285714286" customWidth="1"/>
    <col min="34" max="34" width="20.1428571428571" style="5" customWidth="1"/>
    <col min="35" max="35" width="27.1428571428571" customWidth="1"/>
    <col min="36" max="36" width="16.7142857142857" customWidth="1"/>
    <col min="37" max="37" width="25.7142857142857" customWidth="1"/>
    <col min="38" max="38" width="36.2142857142857" customWidth="1"/>
    <col min="39" max="39" width="26.5714285714286" customWidth="1"/>
    <col min="40" max="40" width="40.2857142857143" customWidth="1"/>
    <col min="41" max="41" width="25.6428571428571" customWidth="1"/>
    <col min="42" max="42" width="12.7857142857143" customWidth="1"/>
    <col min="43" max="43" width="8.35714285714286" hidden="1" customWidth="1"/>
    <col min="44" max="44" width="17.1428571428571" customWidth="1"/>
    <col min="45" max="45" width="21.5714285714286" customWidth="1"/>
    <col min="46" max="48" width="8.13392857142857" hidden="1" customWidth="1"/>
    <col min="49" max="49" width="36" customWidth="1"/>
    <col min="50" max="50" width="5.85714285714286" hidden="1" customWidth="1"/>
    <col min="51" max="51" width="12.9285714285714" style="1" hidden="1" customWidth="1"/>
    <col min="52" max="52" width="35.0714285714286" style="1" customWidth="1"/>
    <col min="53" max="53" width="48.1428571428571" customWidth="1"/>
    <col min="54" max="54" width="20.5714285714286" customWidth="1"/>
    <col min="55" max="55" width="15.7142857142857" customWidth="1"/>
    <col min="56" max="56" width="19.4285714285714" customWidth="1"/>
    <col min="57" max="57" width="19.6428571428571" customWidth="1"/>
  </cols>
  <sheetData>
    <row r="1" ht="36" spans="1:57">
      <c r="A1" t="s">
        <v>0</v>
      </c>
      <c r="B1" s="6" t="s">
        <v>1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/>
      <c r="J1" s="7" t="s">
        <v>7</v>
      </c>
      <c r="K1" s="7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7" t="s">
        <v>7</v>
      </c>
      <c r="Q1" s="13" t="s">
        <v>13</v>
      </c>
      <c r="R1" s="13" t="s">
        <v>14</v>
      </c>
      <c r="S1" s="7" t="s">
        <v>7</v>
      </c>
      <c r="T1" s="5" t="s">
        <v>15</v>
      </c>
      <c r="U1" s="21" t="s">
        <v>16</v>
      </c>
      <c r="V1" s="22" t="s">
        <v>17</v>
      </c>
      <c r="W1" s="7" t="s">
        <v>7</v>
      </c>
      <c r="X1" s="5" t="s">
        <v>18</v>
      </c>
      <c r="Y1" s="22" t="s">
        <v>19</v>
      </c>
      <c r="Z1" s="22" t="s">
        <v>20</v>
      </c>
      <c r="AA1" s="22" t="s">
        <v>21</v>
      </c>
      <c r="AB1" s="25" t="s">
        <v>22</v>
      </c>
      <c r="AC1" s="22" t="s">
        <v>23</v>
      </c>
      <c r="AD1" s="7" t="s">
        <v>7</v>
      </c>
      <c r="AE1" s="5" t="s">
        <v>24</v>
      </c>
      <c r="AF1" s="22" t="s">
        <v>25</v>
      </c>
      <c r="AG1" s="22" t="s">
        <v>26</v>
      </c>
      <c r="AH1" s="5" t="s">
        <v>22</v>
      </c>
      <c r="AI1" s="22" t="s">
        <v>27</v>
      </c>
      <c r="AJ1" s="22" t="s">
        <v>28</v>
      </c>
      <c r="AK1" s="22" t="s">
        <v>29</v>
      </c>
      <c r="AL1" s="29" t="s">
        <v>30</v>
      </c>
      <c r="AM1" s="29" t="s">
        <v>31</v>
      </c>
      <c r="AN1" s="29" t="s">
        <v>32</v>
      </c>
      <c r="AO1" s="29" t="s">
        <v>33</v>
      </c>
      <c r="AP1" s="13" t="s">
        <v>34</v>
      </c>
      <c r="AQ1" s="7" t="s">
        <v>7</v>
      </c>
      <c r="AR1" s="13" t="s">
        <v>35</v>
      </c>
      <c r="AS1" s="13" t="s">
        <v>36</v>
      </c>
      <c r="AT1" s="30" t="s">
        <v>37</v>
      </c>
      <c r="AU1" s="30" t="s">
        <v>38</v>
      </c>
      <c r="AV1" s="30" t="s">
        <v>39</v>
      </c>
      <c r="AW1" s="13" t="s">
        <v>40</v>
      </c>
      <c r="AX1" s="7" t="s">
        <v>7</v>
      </c>
      <c r="AY1" s="31" t="s">
        <v>41</v>
      </c>
      <c r="AZ1" s="13" t="s">
        <v>42</v>
      </c>
      <c r="BA1" s="13" t="s">
        <v>43</v>
      </c>
      <c r="BB1" s="32" t="s">
        <v>44</v>
      </c>
      <c r="BC1" s="32" t="s">
        <v>45</v>
      </c>
      <c r="BD1" s="32" t="s">
        <v>46</v>
      </c>
      <c r="BE1" s="32" t="s">
        <v>47</v>
      </c>
    </row>
    <row r="2" s="1" customFormat="1" spans="1:57">
      <c r="A2">
        <v>0</v>
      </c>
      <c r="B2" t="s">
        <v>48</v>
      </c>
      <c r="C2" t="s">
        <v>49</v>
      </c>
      <c r="E2" t="s">
        <v>50</v>
      </c>
      <c r="F2" t="s">
        <v>50</v>
      </c>
      <c r="G2">
        <v>0.0002837</v>
      </c>
      <c r="H2" t="s">
        <v>51</v>
      </c>
      <c r="I2" s="14">
        <v>1.1304</v>
      </c>
      <c r="J2" s="15" t="s">
        <v>52</v>
      </c>
      <c r="K2" s="14"/>
      <c r="L2" s="16">
        <v>88924</v>
      </c>
      <c r="M2">
        <v>2</v>
      </c>
      <c r="N2">
        <v>7541</v>
      </c>
      <c r="O2">
        <v>27</v>
      </c>
      <c r="P2" t="s">
        <v>52</v>
      </c>
      <c r="Q2">
        <v>269.48</v>
      </c>
      <c r="R2">
        <v>189753</v>
      </c>
      <c r="S2" t="s">
        <v>52</v>
      </c>
      <c r="T2">
        <v>2523</v>
      </c>
      <c r="U2">
        <v>2523</v>
      </c>
      <c r="V2" s="23">
        <v>0.02837</v>
      </c>
      <c r="W2" s="2" t="s">
        <v>52</v>
      </c>
      <c r="X2"/>
      <c r="Y2">
        <f>AVERAGE(Y3:Y32)</f>
        <v>11.65283324</v>
      </c>
      <c r="Z2">
        <f>AVERAGE(Z3:Z32)</f>
        <v>3371.76666666667</v>
      </c>
      <c r="AA2">
        <f>AVERAGE(AA3:AA32)</f>
        <v>95107.2</v>
      </c>
      <c r="AB2" s="5"/>
      <c r="AC2">
        <f>AVERAGE(AC3:AC32)</f>
        <v>69.7333333333333</v>
      </c>
      <c r="AD2" t="s">
        <v>52</v>
      </c>
      <c r="AE2">
        <v>1135</v>
      </c>
      <c r="AF2">
        <v>1135</v>
      </c>
      <c r="AG2">
        <f>AVERAGE(AG3:AG32)</f>
        <v>463.6154176</v>
      </c>
      <c r="AH2" s="5"/>
      <c r="AI2">
        <f t="shared" ref="AI2:AP2" si="0">AVERAGE(AI3:AI32)</f>
        <v>59.4</v>
      </c>
      <c r="AJ2">
        <f t="shared" si="0"/>
        <v>1</v>
      </c>
      <c r="AK2">
        <f t="shared" si="0"/>
        <v>1.7</v>
      </c>
      <c r="AL2">
        <f t="shared" si="0"/>
        <v>4.76666666666667</v>
      </c>
      <c r="AM2">
        <f t="shared" si="0"/>
        <v>1.66666666666667</v>
      </c>
      <c r="AN2">
        <f t="shared" si="0"/>
        <v>48.2</v>
      </c>
      <c r="AO2">
        <f t="shared" si="0"/>
        <v>19.2666666666667</v>
      </c>
      <c r="AP2">
        <f t="shared" si="0"/>
        <v>3.03333333333333</v>
      </c>
      <c r="AQ2" s="2" t="s">
        <v>52</v>
      </c>
      <c r="AR2">
        <v>3</v>
      </c>
      <c r="AS2">
        <v>1</v>
      </c>
      <c r="AT2"/>
      <c r="AU2"/>
      <c r="AV2"/>
      <c r="AW2">
        <f>AVERAGE(AW3:AW32)</f>
        <v>22.5895941333333</v>
      </c>
      <c r="AX2" s="2" t="s">
        <v>52</v>
      </c>
      <c r="AY2" s="1">
        <v>802.440245792667</v>
      </c>
      <c r="AZ2" s="1">
        <f>AVERAGE(AZ3:AZ32)</f>
        <v>958.5220661468</v>
      </c>
      <c r="BA2">
        <f>AVERAGE(BA4:BA32)</f>
        <v>201.413793103448</v>
      </c>
      <c r="BB2" s="1">
        <f>AVERAGE(L2:O2,Q2,R2)</f>
        <v>47752.7466666667</v>
      </c>
      <c r="BC2" s="1">
        <f>AVERAGE(U2,V2,Y2,Z2,AA2,AC2,AF2,AG2,AI2,AJ2,AK2)</f>
        <v>9340.37242007636</v>
      </c>
      <c r="BD2" s="1">
        <f>AVERAGE(AL2:AO2)</f>
        <v>18.475</v>
      </c>
      <c r="BE2" s="1">
        <f>AVERAGE(AR2,AS2,AW2,AZ2,BA2)</f>
        <v>237.305090676716</v>
      </c>
    </row>
    <row r="3" s="1" customFormat="1" spans="1:57">
      <c r="A3" s="1">
        <v>1</v>
      </c>
      <c r="B3" s="8" t="s">
        <v>53</v>
      </c>
      <c r="C3" s="8" t="s">
        <v>53</v>
      </c>
      <c r="D3" s="1" t="s">
        <v>54</v>
      </c>
      <c r="E3" s="1" t="s">
        <v>55</v>
      </c>
      <c r="F3" s="11">
        <v>0.2634</v>
      </c>
      <c r="G3" s="1">
        <v>0.02360064</v>
      </c>
      <c r="H3" s="1" t="s">
        <v>56</v>
      </c>
      <c r="I3" s="14">
        <v>1.1296</v>
      </c>
      <c r="J3" s="15" t="s">
        <v>52</v>
      </c>
      <c r="K3" s="14" t="s">
        <v>57</v>
      </c>
      <c r="L3" s="17">
        <v>88924</v>
      </c>
      <c r="M3" s="1">
        <v>0</v>
      </c>
      <c r="N3" s="1">
        <v>7541</v>
      </c>
      <c r="O3" s="1">
        <v>27</v>
      </c>
      <c r="P3" s="1" t="s">
        <v>52</v>
      </c>
      <c r="Q3" s="1">
        <v>269.48</v>
      </c>
      <c r="R3" s="1">
        <v>189753</v>
      </c>
      <c r="S3" s="1" t="s">
        <v>52</v>
      </c>
      <c r="T3" s="1">
        <v>9328.83</v>
      </c>
      <c r="U3" s="1">
        <v>9328.83</v>
      </c>
      <c r="V3" s="1">
        <f>U3/L3</f>
        <v>0.104907898879942</v>
      </c>
      <c r="W3" s="1" t="s">
        <v>52</v>
      </c>
      <c r="X3" s="1">
        <v>1.05</v>
      </c>
      <c r="Y3" s="1">
        <v>1.05</v>
      </c>
      <c r="Z3" s="1">
        <v>1374</v>
      </c>
      <c r="AA3" s="1">
        <v>48000</v>
      </c>
      <c r="AB3" s="1">
        <v>1899</v>
      </c>
      <c r="AC3" s="1">
        <f>2022-1899</f>
        <v>123</v>
      </c>
      <c r="AD3" s="1" t="s">
        <v>52</v>
      </c>
      <c r="AE3" s="1">
        <v>2457.4</v>
      </c>
      <c r="AF3" s="1">
        <v>2457.4</v>
      </c>
      <c r="AG3" s="1">
        <v>200</v>
      </c>
      <c r="AH3" s="1">
        <v>1966</v>
      </c>
      <c r="AI3" s="1">
        <f t="shared" ref="AI3:AI66" si="1">2022-AH3</f>
        <v>56</v>
      </c>
      <c r="AJ3" s="1">
        <v>2</v>
      </c>
      <c r="AK3" s="1">
        <v>2</v>
      </c>
      <c r="AL3" s="1">
        <v>5</v>
      </c>
      <c r="AM3" s="1">
        <v>4</v>
      </c>
      <c r="AN3" s="1">
        <v>15</v>
      </c>
      <c r="AO3" s="1">
        <v>5</v>
      </c>
      <c r="AP3" s="1">
        <v>3</v>
      </c>
      <c r="AQ3" s="1" t="s">
        <v>52</v>
      </c>
      <c r="AR3" s="1">
        <v>1</v>
      </c>
      <c r="AS3" s="1">
        <v>0</v>
      </c>
      <c r="AT3" s="1">
        <v>513</v>
      </c>
      <c r="AU3" s="1">
        <v>642.2128</v>
      </c>
      <c r="AV3" s="1">
        <v>11.2</v>
      </c>
      <c r="AW3" s="1">
        <f>SUM(AT3:AV3)/100</f>
        <v>11.664128</v>
      </c>
      <c r="AX3" s="1" t="s">
        <v>52</v>
      </c>
      <c r="AY3" s="1">
        <v>160.17354</v>
      </c>
      <c r="AZ3" s="1">
        <v>160.17354</v>
      </c>
      <c r="BA3" s="1">
        <v>513</v>
      </c>
      <c r="BB3" s="1">
        <f t="shared" ref="BB3:BB32" si="2">AVERAGE(L3:O3,Q3,R3)</f>
        <v>47752.4133333333</v>
      </c>
      <c r="BC3" s="1">
        <f t="shared" ref="BC3:BC32" si="3">AVERAGE(U3,V3,Y3,Z3,AA3,AC3,AF3,AG3,AI3,AJ3,AK3)</f>
        <v>5594.94408253626</v>
      </c>
      <c r="BD3" s="1">
        <f t="shared" ref="BD3:BD32" si="4">AVERAGE(AL3:AO3)</f>
        <v>7.25</v>
      </c>
      <c r="BE3" s="1">
        <f t="shared" ref="BE3:BE32" si="5">AVERAGE(AR3,AS3,AW3,AZ3,BA3)</f>
        <v>137.1675336</v>
      </c>
    </row>
    <row r="4" s="1" customFormat="1" spans="1:57">
      <c r="A4" s="1">
        <v>2</v>
      </c>
      <c r="B4" s="8" t="s">
        <v>58</v>
      </c>
      <c r="C4" s="8" t="s">
        <v>58</v>
      </c>
      <c r="D4" s="1" t="s">
        <v>59</v>
      </c>
      <c r="E4" s="1" t="s">
        <v>55</v>
      </c>
      <c r="F4" s="11">
        <v>0.1621</v>
      </c>
      <c r="G4" s="1">
        <v>0.01452416</v>
      </c>
      <c r="H4" s="1" t="s">
        <v>60</v>
      </c>
      <c r="I4" s="14">
        <v>1.0911</v>
      </c>
      <c r="J4" s="15" t="s">
        <v>52</v>
      </c>
      <c r="K4" s="14" t="s">
        <v>57</v>
      </c>
      <c r="L4" s="17">
        <v>88924</v>
      </c>
      <c r="M4" s="1">
        <v>0</v>
      </c>
      <c r="N4" s="1">
        <v>7541</v>
      </c>
      <c r="O4" s="1">
        <v>17</v>
      </c>
      <c r="P4" s="1" t="s">
        <v>52</v>
      </c>
      <c r="Q4" s="1">
        <v>269.48</v>
      </c>
      <c r="R4" s="1">
        <v>189753</v>
      </c>
      <c r="S4" s="1" t="s">
        <v>52</v>
      </c>
      <c r="T4" s="1">
        <v>9328.83</v>
      </c>
      <c r="U4" s="1">
        <v>9328.83</v>
      </c>
      <c r="V4" s="1">
        <f t="shared" ref="V4:V12" si="6">U4/L4</f>
        <v>0.104907898879942</v>
      </c>
      <c r="W4" s="1" t="s">
        <v>52</v>
      </c>
      <c r="X4" s="1">
        <v>1.05</v>
      </c>
      <c r="Y4" s="1">
        <v>1.05</v>
      </c>
      <c r="Z4" s="1">
        <v>1374</v>
      </c>
      <c r="AA4" s="1">
        <v>48000</v>
      </c>
      <c r="AB4" s="1">
        <v>1899</v>
      </c>
      <c r="AC4" s="1">
        <f>2022-1899</f>
        <v>123</v>
      </c>
      <c r="AD4" s="1" t="s">
        <v>52</v>
      </c>
      <c r="AE4" s="1">
        <v>1513</v>
      </c>
      <c r="AF4" s="1">
        <v>1513</v>
      </c>
      <c r="AG4" s="1">
        <v>200</v>
      </c>
      <c r="AH4" s="1">
        <v>1973</v>
      </c>
      <c r="AI4" s="1">
        <f t="shared" si="1"/>
        <v>49</v>
      </c>
      <c r="AJ4" s="1">
        <v>2</v>
      </c>
      <c r="AK4" s="1">
        <v>1</v>
      </c>
      <c r="AL4" s="1">
        <v>5</v>
      </c>
      <c r="AM4" s="1">
        <v>4</v>
      </c>
      <c r="AN4" s="1">
        <v>15</v>
      </c>
      <c r="AO4" s="1">
        <v>15</v>
      </c>
      <c r="AP4" s="1">
        <v>2</v>
      </c>
      <c r="AQ4" s="1" t="s">
        <v>52</v>
      </c>
      <c r="AR4" s="1">
        <v>1</v>
      </c>
      <c r="AS4" s="1">
        <v>0</v>
      </c>
      <c r="AT4" s="1">
        <v>304</v>
      </c>
      <c r="AU4" s="1">
        <v>830</v>
      </c>
      <c r="AV4" s="1">
        <v>15.13</v>
      </c>
      <c r="AW4" s="1">
        <f t="shared" ref="AW4:AW12" si="7">SUM(AT4:AV4)/100</f>
        <v>11.4913</v>
      </c>
      <c r="AX4" s="1" t="s">
        <v>52</v>
      </c>
      <c r="AY4" s="1">
        <v>98.57301</v>
      </c>
      <c r="AZ4" s="1">
        <v>98.57301</v>
      </c>
      <c r="BA4" s="1">
        <v>101</v>
      </c>
      <c r="BB4" s="1">
        <f t="shared" si="2"/>
        <v>47750.7466666667</v>
      </c>
      <c r="BC4" s="1">
        <f t="shared" si="3"/>
        <v>5508.36226435444</v>
      </c>
      <c r="BD4" s="1">
        <f t="shared" si="4"/>
        <v>9.75</v>
      </c>
      <c r="BE4" s="1">
        <f t="shared" si="5"/>
        <v>42.412862</v>
      </c>
    </row>
    <row r="5" s="1" customFormat="1" spans="1:57">
      <c r="A5" s="1">
        <v>3</v>
      </c>
      <c r="B5" s="8" t="s">
        <v>61</v>
      </c>
      <c r="C5" s="8" t="s">
        <v>61</v>
      </c>
      <c r="D5" s="1" t="s">
        <v>62</v>
      </c>
      <c r="E5" s="1" t="s">
        <v>55</v>
      </c>
      <c r="F5" s="11">
        <v>0.3715</v>
      </c>
      <c r="G5" s="1">
        <v>0.0332864</v>
      </c>
      <c r="I5" s="14"/>
      <c r="J5" s="15" t="s">
        <v>52</v>
      </c>
      <c r="K5" s="14" t="s">
        <v>57</v>
      </c>
      <c r="L5" s="17">
        <v>57000</v>
      </c>
      <c r="M5" s="1">
        <v>2</v>
      </c>
      <c r="N5" s="1">
        <v>7541</v>
      </c>
      <c r="O5" s="1">
        <v>37</v>
      </c>
      <c r="P5" s="1" t="s">
        <v>52</v>
      </c>
      <c r="Q5" s="1">
        <v>47.67</v>
      </c>
      <c r="R5" s="1">
        <v>189753</v>
      </c>
      <c r="S5" s="1" t="s">
        <v>52</v>
      </c>
      <c r="T5" s="1">
        <v>9328.83</v>
      </c>
      <c r="U5" s="1">
        <v>9328.83</v>
      </c>
      <c r="V5" s="1">
        <f t="shared" si="6"/>
        <v>0.163663684210526</v>
      </c>
      <c r="W5" s="1" t="s">
        <v>52</v>
      </c>
      <c r="X5" s="1">
        <v>1.05</v>
      </c>
      <c r="Y5" s="1">
        <v>1.05</v>
      </c>
      <c r="Z5" s="1">
        <v>1374</v>
      </c>
      <c r="AA5" s="1">
        <v>48000</v>
      </c>
      <c r="AB5" s="1">
        <v>1899</v>
      </c>
      <c r="AC5" s="1">
        <f>2022-1899</f>
        <v>123</v>
      </c>
      <c r="AD5" s="1" t="s">
        <v>52</v>
      </c>
      <c r="AE5" s="1">
        <v>3465.7</v>
      </c>
      <c r="AF5" s="1">
        <v>3465.7</v>
      </c>
      <c r="AG5" s="1">
        <v>700</v>
      </c>
      <c r="AH5" s="1">
        <v>1966</v>
      </c>
      <c r="AI5" s="1">
        <f t="shared" si="1"/>
        <v>56</v>
      </c>
      <c r="AJ5" s="1">
        <v>0</v>
      </c>
      <c r="AK5" s="1">
        <v>2</v>
      </c>
      <c r="AL5" s="1">
        <v>4</v>
      </c>
      <c r="AM5" s="1">
        <v>11</v>
      </c>
      <c r="AN5" s="1">
        <v>50</v>
      </c>
      <c r="AO5" s="1">
        <v>344</v>
      </c>
      <c r="AP5" s="1">
        <v>4</v>
      </c>
      <c r="AQ5" s="1" t="s">
        <v>52</v>
      </c>
      <c r="AR5" s="1">
        <v>1</v>
      </c>
      <c r="AS5" s="1">
        <v>1</v>
      </c>
      <c r="AT5" s="1">
        <v>1702</v>
      </c>
      <c r="AU5" s="1">
        <v>1908</v>
      </c>
      <c r="AV5" s="1">
        <v>120</v>
      </c>
      <c r="AW5" s="1">
        <f t="shared" si="7"/>
        <v>37.3</v>
      </c>
      <c r="AX5" s="1" t="s">
        <v>52</v>
      </c>
      <c r="AY5" s="1">
        <v>225.90915</v>
      </c>
      <c r="AZ5" s="1">
        <v>225.90915</v>
      </c>
      <c r="BA5" s="1">
        <v>307</v>
      </c>
      <c r="BB5" s="1">
        <f t="shared" si="2"/>
        <v>42396.7783333333</v>
      </c>
      <c r="BC5" s="1">
        <f t="shared" si="3"/>
        <v>5731.88578760765</v>
      </c>
      <c r="BD5" s="1">
        <f t="shared" si="4"/>
        <v>102.25</v>
      </c>
      <c r="BE5" s="1">
        <f t="shared" si="5"/>
        <v>114.44183</v>
      </c>
    </row>
    <row r="6" s="1" customFormat="1" spans="1:57">
      <c r="A6" s="1">
        <v>4</v>
      </c>
      <c r="B6" s="8" t="s">
        <v>63</v>
      </c>
      <c r="C6" s="8" t="s">
        <v>63</v>
      </c>
      <c r="D6" s="1" t="s">
        <v>64</v>
      </c>
      <c r="E6" s="1" t="s">
        <v>55</v>
      </c>
      <c r="F6" s="11">
        <v>0.07506</v>
      </c>
      <c r="G6" s="1">
        <v>0.006725376</v>
      </c>
      <c r="I6" s="14"/>
      <c r="J6" s="15" t="s">
        <v>52</v>
      </c>
      <c r="K6" s="14" t="s">
        <v>57</v>
      </c>
      <c r="L6" s="17">
        <v>57000</v>
      </c>
      <c r="M6" s="1">
        <v>2</v>
      </c>
      <c r="N6" s="1">
        <v>7541</v>
      </c>
      <c r="O6" s="1">
        <v>37</v>
      </c>
      <c r="P6" s="1" t="s">
        <v>52</v>
      </c>
      <c r="Q6" s="1">
        <v>269.48</v>
      </c>
      <c r="R6" s="1">
        <v>189753</v>
      </c>
      <c r="S6" s="1" t="s">
        <v>52</v>
      </c>
      <c r="T6" s="1">
        <v>9328.83</v>
      </c>
      <c r="U6" s="1">
        <v>9328.83</v>
      </c>
      <c r="V6" s="1">
        <f t="shared" si="6"/>
        <v>0.163663684210526</v>
      </c>
      <c r="W6" s="1" t="s">
        <v>52</v>
      </c>
      <c r="X6" s="1">
        <v>1.05</v>
      </c>
      <c r="Y6" s="1">
        <v>1.05</v>
      </c>
      <c r="Z6" s="1">
        <v>1374</v>
      </c>
      <c r="AA6" s="1">
        <v>48000</v>
      </c>
      <c r="AB6" s="1">
        <v>1899</v>
      </c>
      <c r="AC6" s="1">
        <f>2022-1899</f>
        <v>123</v>
      </c>
      <c r="AD6" s="1" t="s">
        <v>52</v>
      </c>
      <c r="AE6" s="1">
        <v>693.476</v>
      </c>
      <c r="AF6" s="1">
        <v>693.476</v>
      </c>
      <c r="AG6" s="1">
        <v>175</v>
      </c>
      <c r="AH6" s="1">
        <v>1987</v>
      </c>
      <c r="AI6" s="1">
        <f t="shared" si="1"/>
        <v>35</v>
      </c>
      <c r="AJ6" s="1">
        <v>0</v>
      </c>
      <c r="AK6" s="1">
        <v>5</v>
      </c>
      <c r="AL6" s="1">
        <v>5</v>
      </c>
      <c r="AM6" s="1">
        <v>0</v>
      </c>
      <c r="AN6" s="1">
        <v>30</v>
      </c>
      <c r="AO6" s="1">
        <v>4</v>
      </c>
      <c r="AP6" s="1">
        <v>3</v>
      </c>
      <c r="AQ6" s="1" t="s">
        <v>52</v>
      </c>
      <c r="AR6" s="1">
        <v>1</v>
      </c>
      <c r="AS6" s="1">
        <v>1</v>
      </c>
      <c r="AT6" s="1">
        <v>38.6</v>
      </c>
      <c r="AU6" s="1">
        <v>61</v>
      </c>
      <c r="AV6" s="1">
        <v>0</v>
      </c>
      <c r="AW6" s="1">
        <f t="shared" si="7"/>
        <v>0.996</v>
      </c>
      <c r="AX6" s="1" t="s">
        <v>52</v>
      </c>
      <c r="AY6" s="1">
        <v>45.643986</v>
      </c>
      <c r="AZ6" s="1">
        <v>45.643986</v>
      </c>
      <c r="BA6" s="1">
        <v>3</v>
      </c>
      <c r="BB6" s="1">
        <f t="shared" si="2"/>
        <v>42433.7466666667</v>
      </c>
      <c r="BC6" s="1">
        <f t="shared" si="3"/>
        <v>5430.50178760766</v>
      </c>
      <c r="BD6" s="1">
        <f t="shared" si="4"/>
        <v>9.75</v>
      </c>
      <c r="BE6" s="1">
        <f t="shared" si="5"/>
        <v>10.3279972</v>
      </c>
    </row>
    <row r="7" s="1" customFormat="1" spans="1:57">
      <c r="A7" s="1">
        <v>5</v>
      </c>
      <c r="B7" s="8" t="s">
        <v>65</v>
      </c>
      <c r="C7" s="8" t="s">
        <v>65</v>
      </c>
      <c r="D7" s="1" t="s">
        <v>66</v>
      </c>
      <c r="E7" s="1" t="s">
        <v>55</v>
      </c>
      <c r="F7" s="11">
        <v>0.07506</v>
      </c>
      <c r="G7" s="1">
        <v>0.006725376</v>
      </c>
      <c r="I7" s="14"/>
      <c r="J7" s="15" t="s">
        <v>52</v>
      </c>
      <c r="K7" s="14" t="s">
        <v>57</v>
      </c>
      <c r="L7" s="17">
        <v>57000</v>
      </c>
      <c r="M7" s="1">
        <v>2</v>
      </c>
      <c r="N7" s="1">
        <v>7541</v>
      </c>
      <c r="O7" s="1">
        <v>17</v>
      </c>
      <c r="P7" s="1" t="s">
        <v>52</v>
      </c>
      <c r="Q7" s="1">
        <v>269.48</v>
      </c>
      <c r="R7" s="1">
        <v>189753</v>
      </c>
      <c r="S7" s="1" t="s">
        <v>52</v>
      </c>
      <c r="T7" s="1">
        <v>9328.83</v>
      </c>
      <c r="U7" s="1">
        <v>9328.83</v>
      </c>
      <c r="V7" s="1">
        <f t="shared" si="6"/>
        <v>0.163663684210526</v>
      </c>
      <c r="W7" s="1" t="s">
        <v>52</v>
      </c>
      <c r="X7" s="1">
        <v>1.05</v>
      </c>
      <c r="Y7" s="1">
        <v>1.05</v>
      </c>
      <c r="Z7" s="1">
        <v>1374</v>
      </c>
      <c r="AA7" s="1">
        <v>48000</v>
      </c>
      <c r="AB7" s="1">
        <v>1899</v>
      </c>
      <c r="AC7" s="1">
        <f>2022-1899</f>
        <v>123</v>
      </c>
      <c r="AD7" s="1" t="s">
        <v>52</v>
      </c>
      <c r="AE7" s="1">
        <v>693.476</v>
      </c>
      <c r="AF7" s="1">
        <v>693.476</v>
      </c>
      <c r="AG7" s="1">
        <v>103</v>
      </c>
      <c r="AH7" s="1">
        <v>1967</v>
      </c>
      <c r="AI7" s="1">
        <f t="shared" si="1"/>
        <v>55</v>
      </c>
      <c r="AJ7" s="1">
        <v>0</v>
      </c>
      <c r="AK7" s="1">
        <v>5</v>
      </c>
      <c r="AL7" s="1">
        <v>2</v>
      </c>
      <c r="AM7" s="1">
        <v>0</v>
      </c>
      <c r="AN7" s="1">
        <v>11</v>
      </c>
      <c r="AO7" s="1">
        <v>12</v>
      </c>
      <c r="AP7" s="1">
        <v>3</v>
      </c>
      <c r="AQ7" s="1" t="s">
        <v>52</v>
      </c>
      <c r="AR7" s="1">
        <v>1</v>
      </c>
      <c r="AS7" s="1">
        <v>1</v>
      </c>
      <c r="AT7" s="1">
        <v>25</v>
      </c>
      <c r="AU7" s="1">
        <v>154</v>
      </c>
      <c r="AV7" s="1">
        <v>2.1</v>
      </c>
      <c r="AW7" s="1">
        <f t="shared" si="7"/>
        <v>1.811</v>
      </c>
      <c r="AX7" s="1" t="s">
        <v>52</v>
      </c>
      <c r="AY7" s="1">
        <v>45.643986</v>
      </c>
      <c r="AZ7" s="1">
        <v>45.643986</v>
      </c>
      <c r="BA7" s="1">
        <v>253</v>
      </c>
      <c r="BB7" s="1">
        <f t="shared" si="2"/>
        <v>42430.4133333333</v>
      </c>
      <c r="BC7" s="1">
        <f t="shared" si="3"/>
        <v>5425.77451488038</v>
      </c>
      <c r="BD7" s="1">
        <f t="shared" si="4"/>
        <v>6.25</v>
      </c>
      <c r="BE7" s="1">
        <f t="shared" si="5"/>
        <v>60.4909972</v>
      </c>
    </row>
    <row r="8" s="1" customFormat="1" spans="1:57">
      <c r="A8" s="1">
        <v>6</v>
      </c>
      <c r="B8" s="8" t="s">
        <v>67</v>
      </c>
      <c r="C8" s="8" t="s">
        <v>67</v>
      </c>
      <c r="D8" s="1" t="s">
        <v>68</v>
      </c>
      <c r="E8" s="1" t="s">
        <v>55</v>
      </c>
      <c r="F8" s="11">
        <v>0.07506</v>
      </c>
      <c r="G8" s="1">
        <v>0.006725376</v>
      </c>
      <c r="I8" s="14"/>
      <c r="J8" s="15" t="s">
        <v>52</v>
      </c>
      <c r="K8" s="14" t="s">
        <v>57</v>
      </c>
      <c r="L8" s="17">
        <v>88924</v>
      </c>
      <c r="M8" s="1">
        <v>0</v>
      </c>
      <c r="N8" s="1">
        <v>7541</v>
      </c>
      <c r="O8" s="1">
        <v>22</v>
      </c>
      <c r="P8" s="1" t="s">
        <v>52</v>
      </c>
      <c r="Q8" s="1">
        <v>269.48</v>
      </c>
      <c r="R8" s="1">
        <v>189753</v>
      </c>
      <c r="S8" s="1" t="s">
        <v>52</v>
      </c>
      <c r="T8" s="1">
        <v>9328.83</v>
      </c>
      <c r="U8" s="1">
        <v>9328.83</v>
      </c>
      <c r="V8" s="1">
        <f t="shared" si="6"/>
        <v>0.104907898879942</v>
      </c>
      <c r="W8" s="1" t="s">
        <v>52</v>
      </c>
      <c r="X8" s="1">
        <v>1.05</v>
      </c>
      <c r="Y8" s="1">
        <v>1.05</v>
      </c>
      <c r="Z8" s="1">
        <v>1374</v>
      </c>
      <c r="AA8" s="1">
        <v>48000</v>
      </c>
      <c r="AB8" s="1">
        <v>1899</v>
      </c>
      <c r="AC8" s="1">
        <f>2022-AB8</f>
        <v>123</v>
      </c>
      <c r="AD8" s="1" t="s">
        <v>52</v>
      </c>
      <c r="AE8" s="1">
        <v>693.476</v>
      </c>
      <c r="AF8" s="1">
        <v>693.476</v>
      </c>
      <c r="AG8" s="1">
        <v>14</v>
      </c>
      <c r="AH8" s="1">
        <v>1994</v>
      </c>
      <c r="AI8" s="1">
        <f t="shared" si="1"/>
        <v>28</v>
      </c>
      <c r="AJ8" s="1">
        <v>0</v>
      </c>
      <c r="AK8" s="1">
        <v>2</v>
      </c>
      <c r="AL8" s="1">
        <v>4</v>
      </c>
      <c r="AM8" s="1">
        <v>0</v>
      </c>
      <c r="AN8" s="1">
        <v>6</v>
      </c>
      <c r="AO8" s="1">
        <v>50</v>
      </c>
      <c r="AP8" s="1">
        <v>4</v>
      </c>
      <c r="AQ8" s="1" t="s">
        <v>52</v>
      </c>
      <c r="AR8" s="1">
        <v>2</v>
      </c>
      <c r="AS8" s="1">
        <v>1</v>
      </c>
      <c r="AT8" s="1">
        <v>1333</v>
      </c>
      <c r="AU8" s="1">
        <v>223</v>
      </c>
      <c r="AV8" s="1">
        <v>2.3</v>
      </c>
      <c r="AW8" s="1">
        <f t="shared" si="7"/>
        <v>15.583</v>
      </c>
      <c r="AX8" s="1" t="s">
        <v>52</v>
      </c>
      <c r="AY8" s="1">
        <v>45.643986</v>
      </c>
      <c r="AZ8" s="1">
        <v>45.643986</v>
      </c>
      <c r="BA8" s="1">
        <v>119</v>
      </c>
      <c r="BB8" s="1">
        <f t="shared" si="2"/>
        <v>47751.58</v>
      </c>
      <c r="BC8" s="1">
        <f t="shared" si="3"/>
        <v>5414.95099162717</v>
      </c>
      <c r="BD8" s="1">
        <f t="shared" si="4"/>
        <v>15</v>
      </c>
      <c r="BE8" s="1">
        <f t="shared" si="5"/>
        <v>36.6453972</v>
      </c>
    </row>
    <row r="9" s="1" customFormat="1" spans="1:57">
      <c r="A9" s="1">
        <v>7</v>
      </c>
      <c r="B9" s="8" t="s">
        <v>69</v>
      </c>
      <c r="C9" s="8" t="s">
        <v>69</v>
      </c>
      <c r="D9" s="1" t="s">
        <v>70</v>
      </c>
      <c r="E9" s="1" t="s">
        <v>55</v>
      </c>
      <c r="F9" s="11">
        <v>0.07506</v>
      </c>
      <c r="G9" s="1">
        <v>0.006725376</v>
      </c>
      <c r="I9" s="14"/>
      <c r="J9" s="15" t="s">
        <v>52</v>
      </c>
      <c r="K9" s="14" t="s">
        <v>57</v>
      </c>
      <c r="L9" s="17">
        <v>57000</v>
      </c>
      <c r="M9" s="1">
        <v>0</v>
      </c>
      <c r="N9" s="1">
        <v>7541</v>
      </c>
      <c r="O9" s="1">
        <v>22</v>
      </c>
      <c r="P9" s="1" t="s">
        <v>52</v>
      </c>
      <c r="Q9" s="1">
        <v>269.48</v>
      </c>
      <c r="R9" s="1">
        <v>189753</v>
      </c>
      <c r="S9" s="1" t="s">
        <v>52</v>
      </c>
      <c r="T9" s="1">
        <v>9328.83</v>
      </c>
      <c r="U9" s="1">
        <v>9328.83</v>
      </c>
      <c r="V9" s="1">
        <f t="shared" si="6"/>
        <v>0.163663684210526</v>
      </c>
      <c r="W9" s="1" t="s">
        <v>52</v>
      </c>
      <c r="X9" s="1">
        <v>1.05</v>
      </c>
      <c r="Y9" s="1">
        <v>1.05</v>
      </c>
      <c r="Z9" s="1">
        <v>1374</v>
      </c>
      <c r="AA9" s="1">
        <v>48000</v>
      </c>
      <c r="AB9" s="1">
        <v>1899</v>
      </c>
      <c r="AC9" s="1">
        <f>2022-AB9</f>
        <v>123</v>
      </c>
      <c r="AD9" s="1" t="s">
        <v>52</v>
      </c>
      <c r="AE9" s="1">
        <v>693.476</v>
      </c>
      <c r="AF9" s="1">
        <v>693.476</v>
      </c>
      <c r="AG9" s="1">
        <v>103</v>
      </c>
      <c r="AH9" s="1">
        <v>2002</v>
      </c>
      <c r="AI9" s="1">
        <f t="shared" si="1"/>
        <v>20</v>
      </c>
      <c r="AJ9" s="1">
        <v>2</v>
      </c>
      <c r="AK9" s="1">
        <v>1</v>
      </c>
      <c r="AL9" s="1">
        <v>2</v>
      </c>
      <c r="AM9" s="1">
        <v>0</v>
      </c>
      <c r="AN9" s="1">
        <v>6</v>
      </c>
      <c r="AO9" s="1">
        <v>0</v>
      </c>
      <c r="AP9" s="1">
        <v>4</v>
      </c>
      <c r="AQ9" s="1" t="s">
        <v>52</v>
      </c>
      <c r="AR9" s="1">
        <v>0</v>
      </c>
      <c r="AS9" s="1">
        <v>1</v>
      </c>
      <c r="AT9" s="1">
        <v>0.6367</v>
      </c>
      <c r="AU9" s="1">
        <v>5.4</v>
      </c>
      <c r="AV9" s="1">
        <v>0.6994</v>
      </c>
      <c r="AW9" s="1">
        <f t="shared" si="7"/>
        <v>0.067361</v>
      </c>
      <c r="AX9" s="1" t="s">
        <v>52</v>
      </c>
      <c r="AY9" s="1">
        <v>45.643986</v>
      </c>
      <c r="AZ9" s="1">
        <v>45.643986</v>
      </c>
      <c r="BA9" s="1">
        <v>140</v>
      </c>
      <c r="BB9" s="1">
        <f t="shared" si="2"/>
        <v>42430.9133333333</v>
      </c>
      <c r="BC9" s="1">
        <f t="shared" si="3"/>
        <v>5422.41087851675</v>
      </c>
      <c r="BD9" s="1">
        <f t="shared" si="4"/>
        <v>2</v>
      </c>
      <c r="BE9" s="1">
        <f t="shared" si="5"/>
        <v>37.3422694</v>
      </c>
    </row>
    <row r="10" s="1" customFormat="1" spans="1:57">
      <c r="A10" s="1">
        <v>8</v>
      </c>
      <c r="B10" s="8" t="s">
        <v>71</v>
      </c>
      <c r="C10" s="8" t="s">
        <v>71</v>
      </c>
      <c r="D10" s="1" t="s">
        <v>72</v>
      </c>
      <c r="E10" s="1" t="s">
        <v>55</v>
      </c>
      <c r="F10" s="11">
        <v>0.07514</v>
      </c>
      <c r="G10" s="1">
        <v>0.006732544</v>
      </c>
      <c r="I10" s="14"/>
      <c r="J10" s="15" t="s">
        <v>52</v>
      </c>
      <c r="K10" s="14" t="s">
        <v>57</v>
      </c>
      <c r="L10" s="17">
        <v>57000</v>
      </c>
      <c r="M10" s="1">
        <v>0</v>
      </c>
      <c r="N10" s="1">
        <v>7541</v>
      </c>
      <c r="O10" s="1">
        <v>37</v>
      </c>
      <c r="P10" s="1" t="s">
        <v>52</v>
      </c>
      <c r="Q10" s="1">
        <v>269.48</v>
      </c>
      <c r="R10" s="1">
        <v>189753</v>
      </c>
      <c r="S10" s="1" t="s">
        <v>52</v>
      </c>
      <c r="T10" s="1">
        <v>9328.83</v>
      </c>
      <c r="U10" s="1">
        <v>9328.83</v>
      </c>
      <c r="V10" s="1">
        <f t="shared" si="6"/>
        <v>0.163663684210526</v>
      </c>
      <c r="W10" s="1" t="s">
        <v>52</v>
      </c>
      <c r="X10" s="1">
        <v>1.05</v>
      </c>
      <c r="Y10" s="1">
        <v>1.05</v>
      </c>
      <c r="Z10" s="1">
        <v>1374</v>
      </c>
      <c r="AA10" s="1">
        <v>48000</v>
      </c>
      <c r="AB10" s="1">
        <v>1899</v>
      </c>
      <c r="AC10" s="1">
        <f>2022-AB10</f>
        <v>123</v>
      </c>
      <c r="AD10" s="1" t="s">
        <v>52</v>
      </c>
      <c r="AE10" s="1">
        <v>701.5</v>
      </c>
      <c r="AF10" s="1">
        <v>701.5</v>
      </c>
      <c r="AG10" s="1">
        <v>20</v>
      </c>
      <c r="AH10" s="1">
        <v>1922</v>
      </c>
      <c r="AI10" s="1">
        <f t="shared" si="1"/>
        <v>100</v>
      </c>
      <c r="AJ10" s="1">
        <v>2</v>
      </c>
      <c r="AK10" s="1">
        <v>8</v>
      </c>
      <c r="AL10" s="1">
        <v>3</v>
      </c>
      <c r="AM10" s="1">
        <v>1</v>
      </c>
      <c r="AN10" s="1">
        <v>100</v>
      </c>
      <c r="AO10" s="1">
        <v>5</v>
      </c>
      <c r="AP10" s="1">
        <v>2</v>
      </c>
      <c r="AQ10" s="1" t="s">
        <v>52</v>
      </c>
      <c r="AR10" s="1">
        <v>2</v>
      </c>
      <c r="AS10" s="1">
        <v>0</v>
      </c>
      <c r="AT10" s="1">
        <v>67.2</v>
      </c>
      <c r="AU10" s="1">
        <v>153</v>
      </c>
      <c r="AV10" s="1">
        <v>3.6</v>
      </c>
      <c r="AW10" s="1">
        <f t="shared" si="7"/>
        <v>2.238</v>
      </c>
      <c r="AX10" s="1" t="s">
        <v>52</v>
      </c>
      <c r="AY10" s="1">
        <v>45.692634</v>
      </c>
      <c r="AZ10" s="1">
        <v>45.692634</v>
      </c>
      <c r="BA10" s="1">
        <v>209</v>
      </c>
      <c r="BB10" s="1">
        <f t="shared" si="2"/>
        <v>42433.4133333333</v>
      </c>
      <c r="BC10" s="1">
        <f t="shared" si="3"/>
        <v>5423.50396942584</v>
      </c>
      <c r="BD10" s="1">
        <f t="shared" si="4"/>
        <v>27.25</v>
      </c>
      <c r="BE10" s="1">
        <f t="shared" si="5"/>
        <v>51.7861268</v>
      </c>
    </row>
    <row r="11" s="1" customFormat="1" spans="1:57">
      <c r="A11" s="1">
        <v>9</v>
      </c>
      <c r="B11" s="8" t="s">
        <v>73</v>
      </c>
      <c r="C11" s="8" t="s">
        <v>73</v>
      </c>
      <c r="D11" s="1" t="s">
        <v>74</v>
      </c>
      <c r="E11" s="1" t="s">
        <v>55</v>
      </c>
      <c r="F11" s="11">
        <v>0.0001269</v>
      </c>
      <c r="G11" s="1">
        <v>1.137024e-5</v>
      </c>
      <c r="I11" s="14"/>
      <c r="J11" s="15" t="s">
        <v>52</v>
      </c>
      <c r="K11" s="14" t="s">
        <v>57</v>
      </c>
      <c r="L11" s="17">
        <v>57000</v>
      </c>
      <c r="M11" s="1">
        <v>2</v>
      </c>
      <c r="N11" s="1">
        <v>7541</v>
      </c>
      <c r="O11" s="1">
        <v>17</v>
      </c>
      <c r="P11" s="1" t="s">
        <v>52</v>
      </c>
      <c r="Q11" s="1">
        <v>47.67</v>
      </c>
      <c r="R11" s="1">
        <v>189753</v>
      </c>
      <c r="S11" s="1" t="s">
        <v>52</v>
      </c>
      <c r="T11" s="1">
        <v>9328.83</v>
      </c>
      <c r="U11" s="1">
        <v>9328.83</v>
      </c>
      <c r="V11" s="1">
        <f t="shared" si="6"/>
        <v>0.163663684210526</v>
      </c>
      <c r="W11" s="1" t="s">
        <v>52</v>
      </c>
      <c r="X11" s="1">
        <v>1.05</v>
      </c>
      <c r="Y11" s="1">
        <v>1.05</v>
      </c>
      <c r="Z11" s="1">
        <v>1374</v>
      </c>
      <c r="AA11" s="1">
        <v>48000</v>
      </c>
      <c r="AB11" s="1">
        <v>1899</v>
      </c>
      <c r="AC11" s="1">
        <f>2022-1899</f>
        <v>123</v>
      </c>
      <c r="AD11" s="1" t="s">
        <v>52</v>
      </c>
      <c r="AE11" s="1">
        <v>1.17325</v>
      </c>
      <c r="AF11" s="1">
        <v>1.17325</v>
      </c>
      <c r="AG11" s="1">
        <v>13</v>
      </c>
      <c r="AH11" s="1">
        <v>1889</v>
      </c>
      <c r="AI11" s="1">
        <f t="shared" si="1"/>
        <v>133</v>
      </c>
      <c r="AJ11" s="1">
        <v>0</v>
      </c>
      <c r="AK11" s="1">
        <v>1</v>
      </c>
      <c r="AL11" s="1">
        <v>1</v>
      </c>
      <c r="AM11" s="1">
        <v>3</v>
      </c>
      <c r="AN11" s="1">
        <v>9</v>
      </c>
      <c r="AO11" s="1">
        <v>5</v>
      </c>
      <c r="AP11" s="1">
        <v>3</v>
      </c>
      <c r="AQ11" s="1" t="s">
        <v>52</v>
      </c>
      <c r="AR11" s="1">
        <v>0</v>
      </c>
      <c r="AS11" s="1">
        <v>0</v>
      </c>
      <c r="AT11" s="1">
        <v>48.3</v>
      </c>
      <c r="AU11" s="1">
        <v>65</v>
      </c>
      <c r="AV11" s="1">
        <v>6.7</v>
      </c>
      <c r="AW11" s="1">
        <f t="shared" si="7"/>
        <v>1.2</v>
      </c>
      <c r="AX11" s="1" t="s">
        <v>52</v>
      </c>
      <c r="AY11" s="1">
        <v>0.07716789</v>
      </c>
      <c r="AZ11" s="1">
        <v>0.07716789</v>
      </c>
      <c r="BA11" s="1">
        <v>503</v>
      </c>
      <c r="BB11" s="1">
        <f t="shared" si="2"/>
        <v>42393.445</v>
      </c>
      <c r="BC11" s="1">
        <f t="shared" si="3"/>
        <v>5361.38335578947</v>
      </c>
      <c r="BD11" s="1">
        <f t="shared" si="4"/>
        <v>4.5</v>
      </c>
      <c r="BE11" s="1">
        <f t="shared" si="5"/>
        <v>100.855433578</v>
      </c>
    </row>
    <row r="12" s="1" customFormat="1" spans="1:57">
      <c r="A12" s="1">
        <v>10</v>
      </c>
      <c r="B12" s="8" t="s">
        <v>75</v>
      </c>
      <c r="C12" s="8" t="s">
        <v>75</v>
      </c>
      <c r="D12" s="1" t="s">
        <v>76</v>
      </c>
      <c r="E12" s="1" t="s">
        <v>55</v>
      </c>
      <c r="F12" s="11">
        <v>0.0001269</v>
      </c>
      <c r="G12" s="1">
        <v>1.137024e-5</v>
      </c>
      <c r="I12" s="14"/>
      <c r="J12" s="15" t="s">
        <v>52</v>
      </c>
      <c r="K12" s="14" t="s">
        <v>57</v>
      </c>
      <c r="L12" s="17">
        <v>57000</v>
      </c>
      <c r="M12" s="1">
        <v>2</v>
      </c>
      <c r="N12" s="1">
        <v>7541</v>
      </c>
      <c r="O12" s="1">
        <v>37</v>
      </c>
      <c r="P12" s="1" t="s">
        <v>52</v>
      </c>
      <c r="Q12" s="1">
        <v>47.67</v>
      </c>
      <c r="R12" s="1">
        <v>189753</v>
      </c>
      <c r="S12" s="1" t="s">
        <v>52</v>
      </c>
      <c r="T12" s="1">
        <v>9328.83</v>
      </c>
      <c r="U12" s="1">
        <v>9328.83</v>
      </c>
      <c r="V12" s="1">
        <f t="shared" si="6"/>
        <v>0.163663684210526</v>
      </c>
      <c r="W12" s="1" t="s">
        <v>52</v>
      </c>
      <c r="X12" s="1">
        <v>1.05</v>
      </c>
      <c r="Y12" s="1">
        <v>1.05</v>
      </c>
      <c r="Z12" s="1">
        <v>1374</v>
      </c>
      <c r="AA12" s="1">
        <v>48000</v>
      </c>
      <c r="AB12" s="1">
        <v>1899</v>
      </c>
      <c r="AC12" s="1">
        <f>2022-1899</f>
        <v>123</v>
      </c>
      <c r="AD12" s="1" t="s">
        <v>52</v>
      </c>
      <c r="AE12" s="1">
        <v>1.17325</v>
      </c>
      <c r="AF12" s="1">
        <v>1.17325</v>
      </c>
      <c r="AG12" s="1">
        <v>13</v>
      </c>
      <c r="AH12" s="1">
        <v>1947</v>
      </c>
      <c r="AI12" s="1">
        <f t="shared" si="1"/>
        <v>75</v>
      </c>
      <c r="AJ12" s="1">
        <v>0</v>
      </c>
      <c r="AK12" s="1">
        <v>1</v>
      </c>
      <c r="AL12" s="1">
        <v>4</v>
      </c>
      <c r="AM12" s="1">
        <v>1</v>
      </c>
      <c r="AN12" s="1">
        <v>30</v>
      </c>
      <c r="AO12" s="1">
        <v>9</v>
      </c>
      <c r="AP12" s="1">
        <v>3</v>
      </c>
      <c r="AQ12" s="1" t="s">
        <v>52</v>
      </c>
      <c r="AR12" s="1">
        <v>0</v>
      </c>
      <c r="AS12" s="1">
        <v>0</v>
      </c>
      <c r="AT12" s="1">
        <v>74</v>
      </c>
      <c r="AU12" s="1">
        <v>257</v>
      </c>
      <c r="AV12" s="1">
        <v>2.9</v>
      </c>
      <c r="AW12" s="1">
        <f t="shared" si="7"/>
        <v>3.339</v>
      </c>
      <c r="AX12" s="1" t="s">
        <v>52</v>
      </c>
      <c r="AY12" s="1">
        <v>0.07716789</v>
      </c>
      <c r="AZ12" s="1">
        <v>0.07716789</v>
      </c>
      <c r="BA12" s="1">
        <v>1398</v>
      </c>
      <c r="BB12" s="1">
        <f t="shared" si="2"/>
        <v>42396.7783333333</v>
      </c>
      <c r="BC12" s="1">
        <f t="shared" si="3"/>
        <v>5356.11062851675</v>
      </c>
      <c r="BD12" s="1">
        <f t="shared" si="4"/>
        <v>11</v>
      </c>
      <c r="BE12" s="1">
        <f t="shared" si="5"/>
        <v>280.283233578</v>
      </c>
    </row>
    <row r="13" s="1" customFormat="1" spans="1:57">
      <c r="A13" s="1">
        <v>11</v>
      </c>
      <c r="B13" s="1" t="s">
        <v>77</v>
      </c>
      <c r="C13" s="1" t="s">
        <v>78</v>
      </c>
      <c r="D13" s="1" t="s">
        <v>79</v>
      </c>
      <c r="E13" s="1" t="s">
        <v>80</v>
      </c>
      <c r="F13" s="12">
        <v>0.2033</v>
      </c>
      <c r="G13" s="1">
        <v>0.08132</v>
      </c>
      <c r="I13" s="14"/>
      <c r="J13" s="15" t="s">
        <v>52</v>
      </c>
      <c r="K13" s="14" t="s">
        <v>81</v>
      </c>
      <c r="L13" s="17">
        <v>88924</v>
      </c>
      <c r="M13" s="1">
        <v>1</v>
      </c>
      <c r="N13" s="1">
        <v>7541</v>
      </c>
      <c r="O13" s="1">
        <v>37</v>
      </c>
      <c r="P13" s="1" t="s">
        <v>52</v>
      </c>
      <c r="Q13" s="1">
        <v>269.48</v>
      </c>
      <c r="R13" s="1">
        <v>189753</v>
      </c>
      <c r="S13" s="15" t="s">
        <v>82</v>
      </c>
      <c r="T13" s="1">
        <v>30896</v>
      </c>
      <c r="U13" s="24">
        <f>T13*I2</f>
        <v>34924.8384</v>
      </c>
      <c r="V13" s="12">
        <v>0.4</v>
      </c>
      <c r="W13" s="1" t="s">
        <v>82</v>
      </c>
      <c r="X13" s="1">
        <v>23.9</v>
      </c>
      <c r="Y13" s="17">
        <f>X13*1.1304</f>
        <v>27.01656</v>
      </c>
      <c r="Z13" s="17">
        <v>5556</v>
      </c>
      <c r="AA13" s="17">
        <v>163309</v>
      </c>
      <c r="AC13" s="1">
        <v>35</v>
      </c>
      <c r="AD13" s="1" t="s">
        <v>82</v>
      </c>
      <c r="AE13" s="1">
        <f t="shared" ref="AE13:AE24" si="8">9328.83*F13</f>
        <v>1896.551139</v>
      </c>
      <c r="AF13" s="26">
        <f>AE13*1.1304</f>
        <v>2143.8614075256</v>
      </c>
      <c r="AG13" s="19">
        <f>Z13*F13</f>
        <v>1129.5348</v>
      </c>
      <c r="AH13" s="26">
        <v>1946</v>
      </c>
      <c r="AI13" s="1">
        <f t="shared" si="1"/>
        <v>76</v>
      </c>
      <c r="AJ13" s="1">
        <v>0</v>
      </c>
      <c r="AK13" s="1">
        <v>1</v>
      </c>
      <c r="AL13" s="1">
        <v>10</v>
      </c>
      <c r="AM13" s="1">
        <v>3</v>
      </c>
      <c r="AN13" s="1">
        <v>60</v>
      </c>
      <c r="AO13" s="1">
        <v>2</v>
      </c>
      <c r="AP13" s="1">
        <v>6</v>
      </c>
      <c r="AQ13" s="1" t="s">
        <v>52</v>
      </c>
      <c r="AR13" s="1">
        <v>3</v>
      </c>
      <c r="AS13" s="1">
        <v>1</v>
      </c>
      <c r="AW13" s="1">
        <v>62.3</v>
      </c>
      <c r="AX13" s="1" t="s">
        <v>82</v>
      </c>
      <c r="AY13" s="1">
        <v>4535.2164</v>
      </c>
      <c r="AZ13" s="1">
        <f>AY13*1.1304</f>
        <v>5126.60861856</v>
      </c>
      <c r="BA13" s="1">
        <v>278</v>
      </c>
      <c r="BB13" s="1">
        <f t="shared" si="2"/>
        <v>47754.2466666667</v>
      </c>
      <c r="BC13" s="1">
        <f t="shared" si="3"/>
        <v>18836.6046515932</v>
      </c>
      <c r="BD13" s="1">
        <f t="shared" si="4"/>
        <v>18.75</v>
      </c>
      <c r="BE13" s="1">
        <f t="shared" si="5"/>
        <v>1094.181723712</v>
      </c>
    </row>
    <row r="14" s="1" customFormat="1" spans="1:57">
      <c r="A14" s="1">
        <v>12</v>
      </c>
      <c r="B14" s="1" t="s">
        <v>83</v>
      </c>
      <c r="C14" s="1" t="s">
        <v>84</v>
      </c>
      <c r="D14" s="1" t="s">
        <v>85</v>
      </c>
      <c r="E14" s="1" t="s">
        <v>80</v>
      </c>
      <c r="F14" s="11">
        <v>0.118694</v>
      </c>
      <c r="G14" s="1">
        <v>0.0474776</v>
      </c>
      <c r="I14" s="14"/>
      <c r="J14" s="15" t="s">
        <v>52</v>
      </c>
      <c r="K14" s="14" t="s">
        <v>81</v>
      </c>
      <c r="L14" s="17">
        <v>88924</v>
      </c>
      <c r="M14" s="1">
        <v>2</v>
      </c>
      <c r="N14" s="1">
        <v>7541</v>
      </c>
      <c r="O14" s="1">
        <v>37</v>
      </c>
      <c r="P14" s="1" t="s">
        <v>52</v>
      </c>
      <c r="Q14" s="1">
        <v>269.48</v>
      </c>
      <c r="R14" s="1">
        <v>189753</v>
      </c>
      <c r="S14" s="15" t="s">
        <v>82</v>
      </c>
      <c r="T14" s="1">
        <v>30896</v>
      </c>
      <c r="U14" s="24">
        <f>T14*I2</f>
        <v>34924.8384</v>
      </c>
      <c r="V14" s="12">
        <v>0.4</v>
      </c>
      <c r="W14" s="1" t="s">
        <v>82</v>
      </c>
      <c r="X14" s="1">
        <v>23.9</v>
      </c>
      <c r="Y14" s="17">
        <f t="shared" ref="Y14:Y19" si="9">X14*1.1304</f>
        <v>27.01656</v>
      </c>
      <c r="Z14" s="17">
        <v>5556</v>
      </c>
      <c r="AA14" s="17">
        <v>163000</v>
      </c>
      <c r="AC14" s="1">
        <v>35</v>
      </c>
      <c r="AD14" s="1" t="s">
        <v>82</v>
      </c>
      <c r="AE14" s="1">
        <f t="shared" si="8"/>
        <v>1107.27614802</v>
      </c>
      <c r="AF14" s="26">
        <f t="shared" ref="AF14:AF19" si="10">AE14*1.1304</f>
        <v>1251.66495772181</v>
      </c>
      <c r="AG14" s="19">
        <f>Z14*F14</f>
        <v>659.463864</v>
      </c>
      <c r="AH14" s="1">
        <v>1947</v>
      </c>
      <c r="AI14" s="1">
        <f t="shared" si="1"/>
        <v>75</v>
      </c>
      <c r="AJ14" s="1">
        <v>0</v>
      </c>
      <c r="AK14" s="1">
        <v>1</v>
      </c>
      <c r="AL14" s="1">
        <v>3</v>
      </c>
      <c r="AM14" s="1">
        <v>0</v>
      </c>
      <c r="AN14" s="1">
        <v>50</v>
      </c>
      <c r="AO14" s="1">
        <v>3</v>
      </c>
      <c r="AP14" s="1">
        <v>5</v>
      </c>
      <c r="AQ14" s="1" t="s">
        <v>52</v>
      </c>
      <c r="AR14" s="1">
        <v>1</v>
      </c>
      <c r="AS14" s="1">
        <v>1</v>
      </c>
      <c r="AT14" s="1">
        <v>193</v>
      </c>
      <c r="AU14" s="1">
        <v>38</v>
      </c>
      <c r="AV14" s="1">
        <v>15.1</v>
      </c>
      <c r="AW14" s="1">
        <f t="shared" ref="AW14:AW19" si="11">SUM(AT14:AV14)/100</f>
        <v>2.461</v>
      </c>
      <c r="AX14" s="1" t="s">
        <v>82</v>
      </c>
      <c r="AY14" s="1">
        <v>2647.825752</v>
      </c>
      <c r="AZ14" s="1">
        <f t="shared" ref="AZ14:AZ19" si="12">AY14*1.1304</f>
        <v>2993.1022300608</v>
      </c>
      <c r="BA14" s="1">
        <v>8</v>
      </c>
      <c r="BB14" s="1">
        <f t="shared" si="2"/>
        <v>47754.4133333333</v>
      </c>
      <c r="BC14" s="1">
        <f t="shared" si="3"/>
        <v>18684.5803437929</v>
      </c>
      <c r="BD14" s="1">
        <f t="shared" si="4"/>
        <v>14</v>
      </c>
      <c r="BE14" s="1">
        <f t="shared" si="5"/>
        <v>601.11264601216</v>
      </c>
    </row>
    <row r="15" s="1" customFormat="1" spans="1:57">
      <c r="A15" s="1">
        <v>13</v>
      </c>
      <c r="B15" s="1" t="s">
        <v>86</v>
      </c>
      <c r="C15" s="1" t="s">
        <v>87</v>
      </c>
      <c r="D15" s="1" t="s">
        <v>88</v>
      </c>
      <c r="E15" s="1" t="s">
        <v>80</v>
      </c>
      <c r="F15" s="11">
        <v>0.118694</v>
      </c>
      <c r="G15" s="1">
        <v>0.0474776</v>
      </c>
      <c r="I15" s="14"/>
      <c r="J15" s="15" t="s">
        <v>52</v>
      </c>
      <c r="K15" s="14" t="s">
        <v>81</v>
      </c>
      <c r="L15" s="17">
        <v>88924</v>
      </c>
      <c r="M15" s="1">
        <v>1</v>
      </c>
      <c r="N15" s="1">
        <v>7541</v>
      </c>
      <c r="O15" s="1">
        <v>37</v>
      </c>
      <c r="P15" s="1" t="s">
        <v>52</v>
      </c>
      <c r="Q15" s="1">
        <v>269.48</v>
      </c>
      <c r="R15" s="1">
        <v>189753</v>
      </c>
      <c r="S15" s="15" t="s">
        <v>82</v>
      </c>
      <c r="T15" s="1">
        <v>30896</v>
      </c>
      <c r="U15" s="24">
        <f>30896*I2</f>
        <v>34924.8384</v>
      </c>
      <c r="V15" s="12">
        <v>0.4</v>
      </c>
      <c r="W15" s="1" t="s">
        <v>82</v>
      </c>
      <c r="X15" s="1">
        <v>23.9</v>
      </c>
      <c r="Y15" s="17">
        <f t="shared" si="9"/>
        <v>27.01656</v>
      </c>
      <c r="Z15" s="17">
        <v>5556</v>
      </c>
      <c r="AA15" s="17">
        <v>163000</v>
      </c>
      <c r="AC15" s="1">
        <v>35</v>
      </c>
      <c r="AD15" s="1" t="s">
        <v>82</v>
      </c>
      <c r="AE15" s="1">
        <f t="shared" si="8"/>
        <v>1107.27614802</v>
      </c>
      <c r="AF15" s="26">
        <f t="shared" si="10"/>
        <v>1251.66495772181</v>
      </c>
      <c r="AG15" s="19">
        <v>197</v>
      </c>
      <c r="AH15" s="1">
        <v>1925</v>
      </c>
      <c r="AI15" s="1">
        <f t="shared" si="1"/>
        <v>97</v>
      </c>
      <c r="AJ15" s="1">
        <v>2</v>
      </c>
      <c r="AK15" s="1">
        <v>0</v>
      </c>
      <c r="AL15" s="1">
        <v>8</v>
      </c>
      <c r="AM15" s="1">
        <v>1</v>
      </c>
      <c r="AN15" s="1">
        <v>35</v>
      </c>
      <c r="AO15" s="1">
        <v>22</v>
      </c>
      <c r="AP15" s="1">
        <v>0</v>
      </c>
      <c r="AQ15" s="1" t="s">
        <v>52</v>
      </c>
      <c r="AR15" s="1">
        <v>3</v>
      </c>
      <c r="AS15" s="1">
        <v>1</v>
      </c>
      <c r="AT15" s="1">
        <v>1892</v>
      </c>
      <c r="AU15" s="1">
        <v>317</v>
      </c>
      <c r="AV15" s="1">
        <v>93.8</v>
      </c>
      <c r="AW15" s="1">
        <f t="shared" si="11"/>
        <v>23.028</v>
      </c>
      <c r="AX15" s="1" t="s">
        <v>82</v>
      </c>
      <c r="AY15" s="1">
        <v>2647.825752</v>
      </c>
      <c r="AZ15" s="1">
        <f t="shared" si="12"/>
        <v>2993.1022300608</v>
      </c>
      <c r="BA15" s="1">
        <v>6</v>
      </c>
      <c r="BB15" s="1">
        <f t="shared" si="2"/>
        <v>47754.2466666667</v>
      </c>
      <c r="BC15" s="1">
        <f t="shared" si="3"/>
        <v>18644.6290834293</v>
      </c>
      <c r="BD15" s="1">
        <f t="shared" si="4"/>
        <v>16.5</v>
      </c>
      <c r="BE15" s="1">
        <f t="shared" si="5"/>
        <v>605.22604601216</v>
      </c>
    </row>
    <row r="16" s="1" customFormat="1" spans="1:57">
      <c r="A16" s="1">
        <v>14</v>
      </c>
      <c r="B16" s="1" t="s">
        <v>89</v>
      </c>
      <c r="C16" s="1" t="s">
        <v>90</v>
      </c>
      <c r="D16" s="1" t="s">
        <v>91</v>
      </c>
      <c r="E16" s="1" t="s">
        <v>80</v>
      </c>
      <c r="F16" s="11">
        <v>0.118694</v>
      </c>
      <c r="G16" s="1">
        <v>0.0474776</v>
      </c>
      <c r="I16" s="14"/>
      <c r="J16" s="15" t="s">
        <v>52</v>
      </c>
      <c r="K16" s="14" t="s">
        <v>81</v>
      </c>
      <c r="L16" s="17">
        <v>88924</v>
      </c>
      <c r="M16" s="18">
        <v>2</v>
      </c>
      <c r="N16" s="1">
        <v>7541</v>
      </c>
      <c r="O16" s="1">
        <v>37</v>
      </c>
      <c r="P16" s="1" t="s">
        <v>52</v>
      </c>
      <c r="Q16" s="1">
        <v>269.48</v>
      </c>
      <c r="R16" s="1">
        <v>189753</v>
      </c>
      <c r="S16" s="15" t="s">
        <v>82</v>
      </c>
      <c r="T16" s="1">
        <v>30896</v>
      </c>
      <c r="U16" s="24">
        <f>T16*1.1304</f>
        <v>34924.8384</v>
      </c>
      <c r="V16" s="12">
        <v>0.4</v>
      </c>
      <c r="W16" s="1" t="s">
        <v>82</v>
      </c>
      <c r="X16" s="1">
        <v>23.9</v>
      </c>
      <c r="Y16" s="17">
        <f t="shared" si="9"/>
        <v>27.01656</v>
      </c>
      <c r="Z16" s="17">
        <v>5556</v>
      </c>
      <c r="AA16" s="17">
        <v>163000</v>
      </c>
      <c r="AC16" s="1">
        <v>35</v>
      </c>
      <c r="AD16" s="1" t="s">
        <v>82</v>
      </c>
      <c r="AE16" s="1">
        <f t="shared" si="8"/>
        <v>1107.27614802</v>
      </c>
      <c r="AF16" s="26">
        <f t="shared" si="10"/>
        <v>1251.66495772181</v>
      </c>
      <c r="AG16" s="19">
        <f>Z16*F16</f>
        <v>659.463864</v>
      </c>
      <c r="AH16" s="1">
        <v>1894</v>
      </c>
      <c r="AI16" s="1">
        <f t="shared" si="1"/>
        <v>128</v>
      </c>
      <c r="AJ16" s="1">
        <v>2</v>
      </c>
      <c r="AK16" s="1">
        <v>1</v>
      </c>
      <c r="AL16" s="1">
        <v>7</v>
      </c>
      <c r="AM16" s="1">
        <v>1</v>
      </c>
      <c r="AN16" s="1">
        <v>206</v>
      </c>
      <c r="AO16" s="1">
        <v>5</v>
      </c>
      <c r="AP16" s="1">
        <v>1</v>
      </c>
      <c r="AQ16" s="1" t="s">
        <v>52</v>
      </c>
      <c r="AR16" s="1">
        <v>2</v>
      </c>
      <c r="AS16" s="1">
        <v>1</v>
      </c>
      <c r="AT16" s="1">
        <v>352</v>
      </c>
      <c r="AU16" s="1">
        <v>68</v>
      </c>
      <c r="AV16" s="1">
        <v>9.8</v>
      </c>
      <c r="AW16" s="1">
        <f t="shared" si="11"/>
        <v>4.298</v>
      </c>
      <c r="AX16" s="1" t="s">
        <v>82</v>
      </c>
      <c r="AY16" s="1">
        <v>2647.825752</v>
      </c>
      <c r="AZ16" s="1">
        <f t="shared" si="12"/>
        <v>2993.1022300608</v>
      </c>
      <c r="BA16" s="1">
        <v>3</v>
      </c>
      <c r="BB16" s="1">
        <f t="shared" si="2"/>
        <v>47754.4133333333</v>
      </c>
      <c r="BC16" s="1">
        <f t="shared" si="3"/>
        <v>18689.5803437929</v>
      </c>
      <c r="BD16" s="1">
        <f t="shared" si="4"/>
        <v>54.75</v>
      </c>
      <c r="BE16" s="1">
        <f t="shared" si="5"/>
        <v>600.68004601216</v>
      </c>
    </row>
    <row r="17" s="1" customFormat="1" spans="1:57">
      <c r="A17" s="1">
        <v>15</v>
      </c>
      <c r="B17" s="1" t="s">
        <v>92</v>
      </c>
      <c r="C17" s="1" t="s">
        <v>93</v>
      </c>
      <c r="D17" s="1" t="s">
        <v>94</v>
      </c>
      <c r="E17" s="1" t="s">
        <v>80</v>
      </c>
      <c r="F17" s="11">
        <v>0.118694</v>
      </c>
      <c r="G17" s="1">
        <v>0.0474776</v>
      </c>
      <c r="I17" s="14"/>
      <c r="J17" s="15" t="s">
        <v>52</v>
      </c>
      <c r="K17" s="14" t="s">
        <v>81</v>
      </c>
      <c r="L17" s="17">
        <v>88924</v>
      </c>
      <c r="M17" s="1">
        <v>2</v>
      </c>
      <c r="N17" s="1">
        <v>7541</v>
      </c>
      <c r="O17" s="1">
        <v>37</v>
      </c>
      <c r="P17" s="1" t="s">
        <v>52</v>
      </c>
      <c r="Q17" s="1">
        <v>269.48</v>
      </c>
      <c r="R17" s="1">
        <v>189753</v>
      </c>
      <c r="S17" s="15" t="s">
        <v>82</v>
      </c>
      <c r="T17" s="1">
        <v>30896</v>
      </c>
      <c r="U17" s="24">
        <f>T17*1.1304</f>
        <v>34924.8384</v>
      </c>
      <c r="V17" s="12">
        <v>0.4</v>
      </c>
      <c r="W17" s="1" t="s">
        <v>82</v>
      </c>
      <c r="X17" s="1">
        <v>23.9</v>
      </c>
      <c r="Y17" s="17">
        <f t="shared" si="9"/>
        <v>27.01656</v>
      </c>
      <c r="Z17" s="17">
        <v>5556</v>
      </c>
      <c r="AA17" s="17">
        <v>163000</v>
      </c>
      <c r="AC17" s="1">
        <v>35</v>
      </c>
      <c r="AD17" s="1" t="s">
        <v>82</v>
      </c>
      <c r="AE17" s="1">
        <f t="shared" si="8"/>
        <v>1107.27614802</v>
      </c>
      <c r="AF17" s="26">
        <f t="shared" si="10"/>
        <v>1251.66495772181</v>
      </c>
      <c r="AG17" s="19">
        <v>178</v>
      </c>
      <c r="AH17" s="1">
        <v>1924</v>
      </c>
      <c r="AI17" s="1">
        <f t="shared" si="1"/>
        <v>98</v>
      </c>
      <c r="AJ17" s="1">
        <v>2</v>
      </c>
      <c r="AK17" s="1">
        <v>2</v>
      </c>
      <c r="AL17" s="1">
        <v>5</v>
      </c>
      <c r="AM17" s="1">
        <v>0</v>
      </c>
      <c r="AN17" s="1">
        <v>26</v>
      </c>
      <c r="AO17" s="1">
        <v>1</v>
      </c>
      <c r="AP17" s="1">
        <v>1</v>
      </c>
      <c r="AQ17" s="1" t="s">
        <v>52</v>
      </c>
      <c r="AR17" s="1">
        <v>3</v>
      </c>
      <c r="AS17" s="1">
        <v>1</v>
      </c>
      <c r="AT17" s="1">
        <v>64.5</v>
      </c>
      <c r="AU17" s="1">
        <v>7.4</v>
      </c>
      <c r="AV17" s="1">
        <v>0.1035</v>
      </c>
      <c r="AW17" s="1">
        <f t="shared" si="11"/>
        <v>0.720035</v>
      </c>
      <c r="AX17" s="1" t="s">
        <v>82</v>
      </c>
      <c r="AY17" s="1">
        <v>2647.825752</v>
      </c>
      <c r="AZ17" s="1">
        <f t="shared" si="12"/>
        <v>2993.1022300608</v>
      </c>
      <c r="BA17" s="1">
        <v>3</v>
      </c>
      <c r="BB17" s="1">
        <f t="shared" si="2"/>
        <v>47754.4133333333</v>
      </c>
      <c r="BC17" s="1">
        <f t="shared" si="3"/>
        <v>18643.1745379747</v>
      </c>
      <c r="BD17" s="1">
        <f t="shared" si="4"/>
        <v>8</v>
      </c>
      <c r="BE17" s="1">
        <f t="shared" si="5"/>
        <v>600.16445301216</v>
      </c>
    </row>
    <row r="18" s="1" customFormat="1" spans="1:57">
      <c r="A18" s="1">
        <v>16</v>
      </c>
      <c r="B18" s="1" t="s">
        <v>95</v>
      </c>
      <c r="C18" s="1" t="s">
        <v>96</v>
      </c>
      <c r="D18" s="1" t="s">
        <v>97</v>
      </c>
      <c r="E18" s="1" t="s">
        <v>80</v>
      </c>
      <c r="F18" s="12">
        <v>0.2033</v>
      </c>
      <c r="G18" s="1">
        <v>0.08132</v>
      </c>
      <c r="I18" s="14"/>
      <c r="J18" s="15" t="s">
        <v>52</v>
      </c>
      <c r="K18" s="14" t="s">
        <v>81</v>
      </c>
      <c r="L18" s="17">
        <v>88924</v>
      </c>
      <c r="M18" s="1">
        <v>1</v>
      </c>
      <c r="N18" s="1">
        <v>7541</v>
      </c>
      <c r="O18" s="1">
        <v>37</v>
      </c>
      <c r="P18" s="1" t="s">
        <v>52</v>
      </c>
      <c r="Q18" s="1">
        <v>269.48</v>
      </c>
      <c r="R18" s="1">
        <v>189753</v>
      </c>
      <c r="S18" s="15" t="s">
        <v>82</v>
      </c>
      <c r="T18" s="1">
        <v>30896</v>
      </c>
      <c r="U18" s="24">
        <f>T18*1.1304</f>
        <v>34924.8384</v>
      </c>
      <c r="V18" s="12">
        <v>0.4</v>
      </c>
      <c r="W18" s="1" t="s">
        <v>82</v>
      </c>
      <c r="X18" s="1">
        <v>23.9</v>
      </c>
      <c r="Y18" s="17">
        <f t="shared" si="9"/>
        <v>27.01656</v>
      </c>
      <c r="Z18" s="17">
        <v>5556</v>
      </c>
      <c r="AA18" s="17">
        <v>163000</v>
      </c>
      <c r="AC18" s="1">
        <v>35</v>
      </c>
      <c r="AD18" s="1" t="s">
        <v>82</v>
      </c>
      <c r="AE18" s="1">
        <f t="shared" si="8"/>
        <v>1896.551139</v>
      </c>
      <c r="AF18" s="26">
        <f t="shared" si="10"/>
        <v>2143.8614075256</v>
      </c>
      <c r="AG18" s="19">
        <v>460</v>
      </c>
      <c r="AH18" s="1">
        <v>1987</v>
      </c>
      <c r="AI18" s="1">
        <f t="shared" si="1"/>
        <v>35</v>
      </c>
      <c r="AJ18" s="1">
        <v>2</v>
      </c>
      <c r="AK18" s="1">
        <v>1</v>
      </c>
      <c r="AL18" s="1">
        <v>13</v>
      </c>
      <c r="AM18" s="1">
        <v>0</v>
      </c>
      <c r="AN18" s="1">
        <v>50</v>
      </c>
      <c r="AO18" s="1">
        <v>13</v>
      </c>
      <c r="AP18" s="1">
        <v>0</v>
      </c>
      <c r="AQ18" s="1" t="s">
        <v>52</v>
      </c>
      <c r="AR18" s="1">
        <v>3</v>
      </c>
      <c r="AS18" s="1">
        <v>1</v>
      </c>
      <c r="AW18" s="1">
        <v>75.6</v>
      </c>
      <c r="AX18" s="1" t="s">
        <v>82</v>
      </c>
      <c r="AY18" s="1">
        <v>4535.2164</v>
      </c>
      <c r="AZ18" s="1">
        <f t="shared" si="12"/>
        <v>5126.60861856</v>
      </c>
      <c r="BA18" s="1">
        <v>5</v>
      </c>
      <c r="BB18" s="1">
        <f t="shared" si="2"/>
        <v>47754.2466666667</v>
      </c>
      <c r="BC18" s="1">
        <f t="shared" si="3"/>
        <v>18744.1014879569</v>
      </c>
      <c r="BD18" s="1">
        <f t="shared" si="4"/>
        <v>19</v>
      </c>
      <c r="BE18" s="1">
        <f t="shared" si="5"/>
        <v>1042.241723712</v>
      </c>
    </row>
    <row r="19" s="1" customFormat="1" spans="1:57">
      <c r="A19" s="1">
        <v>17</v>
      </c>
      <c r="B19" s="1" t="s">
        <v>98</v>
      </c>
      <c r="C19" s="1" t="s">
        <v>99</v>
      </c>
      <c r="D19" s="1" t="s">
        <v>100</v>
      </c>
      <c r="E19" s="1" t="s">
        <v>80</v>
      </c>
      <c r="F19" s="11">
        <v>0.118694</v>
      </c>
      <c r="G19" s="1">
        <v>0.0474776</v>
      </c>
      <c r="I19" s="14"/>
      <c r="J19" s="15" t="s">
        <v>52</v>
      </c>
      <c r="K19" s="14" t="s">
        <v>81</v>
      </c>
      <c r="L19" s="17">
        <v>88924</v>
      </c>
      <c r="M19" s="1">
        <v>1</v>
      </c>
      <c r="N19" s="1">
        <v>7541</v>
      </c>
      <c r="O19" s="1">
        <v>37</v>
      </c>
      <c r="P19" s="1" t="s">
        <v>52</v>
      </c>
      <c r="Q19" s="1">
        <v>269.48</v>
      </c>
      <c r="R19" s="1">
        <v>189753</v>
      </c>
      <c r="S19" s="15" t="s">
        <v>82</v>
      </c>
      <c r="T19" s="1">
        <v>30896</v>
      </c>
      <c r="U19" s="24">
        <f>T19*1.1304</f>
        <v>34924.8384</v>
      </c>
      <c r="V19" s="12">
        <v>0.4</v>
      </c>
      <c r="W19" s="1" t="s">
        <v>82</v>
      </c>
      <c r="X19" s="1">
        <v>23.9</v>
      </c>
      <c r="Y19" s="17">
        <f t="shared" si="9"/>
        <v>27.01656</v>
      </c>
      <c r="Z19" s="17">
        <v>5556</v>
      </c>
      <c r="AA19" s="17">
        <v>163000</v>
      </c>
      <c r="AC19" s="1">
        <v>35</v>
      </c>
      <c r="AD19" s="1" t="s">
        <v>82</v>
      </c>
      <c r="AE19" s="1">
        <f t="shared" si="8"/>
        <v>1107.27614802</v>
      </c>
      <c r="AF19" s="26">
        <f t="shared" si="10"/>
        <v>1251.66495772181</v>
      </c>
      <c r="AG19" s="19">
        <v>285</v>
      </c>
      <c r="AH19" s="1">
        <v>1986</v>
      </c>
      <c r="AI19" s="1">
        <f t="shared" si="1"/>
        <v>36</v>
      </c>
      <c r="AJ19" s="1">
        <v>0</v>
      </c>
      <c r="AK19" s="1">
        <v>1</v>
      </c>
      <c r="AL19" s="1">
        <v>6</v>
      </c>
      <c r="AM19" s="1">
        <v>1</v>
      </c>
      <c r="AN19" s="1">
        <v>80</v>
      </c>
      <c r="AO19" s="1">
        <v>7</v>
      </c>
      <c r="AP19" s="1">
        <v>6</v>
      </c>
      <c r="AQ19" s="1" t="s">
        <v>52</v>
      </c>
      <c r="AR19" s="1">
        <v>2</v>
      </c>
      <c r="AS19" s="1">
        <v>1</v>
      </c>
      <c r="AT19" s="1">
        <v>1084</v>
      </c>
      <c r="AU19" s="1">
        <v>213</v>
      </c>
      <c r="AV19" s="1">
        <v>860.9</v>
      </c>
      <c r="AW19" s="1">
        <f t="shared" si="11"/>
        <v>21.579</v>
      </c>
      <c r="AX19" s="1" t="s">
        <v>82</v>
      </c>
      <c r="AY19" s="1">
        <v>2647.825752</v>
      </c>
      <c r="AZ19" s="1">
        <f t="shared" si="12"/>
        <v>2993.1022300608</v>
      </c>
      <c r="BA19" s="1">
        <v>679</v>
      </c>
      <c r="BB19" s="1">
        <f t="shared" si="2"/>
        <v>47754.2466666667</v>
      </c>
      <c r="BC19" s="1">
        <f t="shared" si="3"/>
        <v>18646.9927197929</v>
      </c>
      <c r="BD19" s="1">
        <f t="shared" si="4"/>
        <v>23.5</v>
      </c>
      <c r="BE19" s="1">
        <f t="shared" si="5"/>
        <v>739.33624601216</v>
      </c>
    </row>
    <row r="20" s="1" customFormat="1" spans="1:57">
      <c r="A20" s="1">
        <v>18</v>
      </c>
      <c r="B20" s="1" t="s">
        <v>101</v>
      </c>
      <c r="C20" s="1" t="s">
        <v>102</v>
      </c>
      <c r="D20" s="1" t="s">
        <v>103</v>
      </c>
      <c r="E20" s="1" t="s">
        <v>104</v>
      </c>
      <c r="F20" s="12">
        <v>0.11</v>
      </c>
      <c r="G20" s="1">
        <v>0.0275</v>
      </c>
      <c r="I20" s="14"/>
      <c r="J20" s="15" t="s">
        <v>52</v>
      </c>
      <c r="K20" s="14" t="s">
        <v>81</v>
      </c>
      <c r="L20" s="17">
        <v>88924</v>
      </c>
      <c r="M20" s="1">
        <v>2</v>
      </c>
      <c r="N20" s="1">
        <v>7541</v>
      </c>
      <c r="O20" s="1">
        <v>37</v>
      </c>
      <c r="P20" s="1" t="s">
        <v>52</v>
      </c>
      <c r="Q20" s="1">
        <v>269.48</v>
      </c>
      <c r="R20" s="1">
        <v>189753</v>
      </c>
      <c r="S20" s="15" t="s">
        <v>82</v>
      </c>
      <c r="T20" s="1">
        <f>17645</f>
        <v>17645</v>
      </c>
      <c r="U20" s="24">
        <f>T20*1.1296</f>
        <v>19931.792</v>
      </c>
      <c r="V20" s="12">
        <v>0.18</v>
      </c>
      <c r="W20" s="15" t="s">
        <v>82</v>
      </c>
      <c r="X20" s="1">
        <v>25.49</v>
      </c>
      <c r="Y20" s="17">
        <f>X20*1.1296</f>
        <v>28.793504</v>
      </c>
      <c r="Z20" s="17">
        <v>1433</v>
      </c>
      <c r="AA20" s="17">
        <v>42811</v>
      </c>
      <c r="AC20" s="1">
        <v>59</v>
      </c>
      <c r="AD20" s="15" t="s">
        <v>82</v>
      </c>
      <c r="AE20" s="1">
        <f t="shared" si="8"/>
        <v>1026.1713</v>
      </c>
      <c r="AF20" s="1">
        <f>AE20*1.1296</f>
        <v>1159.16310048</v>
      </c>
      <c r="AG20" s="1">
        <v>80</v>
      </c>
      <c r="AH20" s="1">
        <v>1992</v>
      </c>
      <c r="AI20" s="1">
        <f t="shared" si="1"/>
        <v>30</v>
      </c>
      <c r="AJ20" s="1">
        <v>0</v>
      </c>
      <c r="AK20" s="1">
        <v>1</v>
      </c>
      <c r="AL20" s="1">
        <v>5</v>
      </c>
      <c r="AM20" s="1">
        <v>1</v>
      </c>
      <c r="AN20" s="1">
        <v>20</v>
      </c>
      <c r="AO20" s="1">
        <v>9</v>
      </c>
      <c r="AP20" s="1">
        <v>1</v>
      </c>
      <c r="AQ20" s="1" t="s">
        <v>52</v>
      </c>
      <c r="AR20" s="1">
        <v>2</v>
      </c>
      <c r="AS20" s="1">
        <v>1</v>
      </c>
      <c r="AT20" s="1">
        <v>1195</v>
      </c>
      <c r="AU20" s="1">
        <v>0</v>
      </c>
      <c r="AV20" s="1">
        <v>189.9</v>
      </c>
      <c r="AW20" s="1">
        <f t="shared" ref="AW20:AW24" si="13">SUM(AT20:AV20)/100</f>
        <v>13.849</v>
      </c>
      <c r="AX20" s="1" t="s">
        <v>82</v>
      </c>
      <c r="AY20" s="1">
        <v>11</v>
      </c>
      <c r="AZ20" s="1">
        <f>AY20*1.1296</f>
        <v>12.4256</v>
      </c>
      <c r="BA20" s="1">
        <v>0</v>
      </c>
      <c r="BB20" s="1">
        <f t="shared" si="2"/>
        <v>47754.4133333333</v>
      </c>
      <c r="BC20" s="1">
        <f t="shared" si="3"/>
        <v>5957.62987313455</v>
      </c>
      <c r="BD20" s="1">
        <f t="shared" si="4"/>
        <v>8.75</v>
      </c>
      <c r="BE20" s="1">
        <f t="shared" si="5"/>
        <v>5.85492</v>
      </c>
    </row>
    <row r="21" s="1" customFormat="1" spans="1:57">
      <c r="A21" s="1">
        <v>19</v>
      </c>
      <c r="B21" s="1" t="s">
        <v>105</v>
      </c>
      <c r="C21" s="1" t="s">
        <v>106</v>
      </c>
      <c r="D21" s="1" t="s">
        <v>107</v>
      </c>
      <c r="E21" s="1" t="s">
        <v>104</v>
      </c>
      <c r="F21" s="12">
        <v>0.11</v>
      </c>
      <c r="G21" s="1">
        <v>0.0275</v>
      </c>
      <c r="I21" s="14"/>
      <c r="J21" s="15" t="s">
        <v>52</v>
      </c>
      <c r="K21" s="14" t="s">
        <v>81</v>
      </c>
      <c r="L21" s="17">
        <v>88924</v>
      </c>
      <c r="M21" s="1">
        <v>2</v>
      </c>
      <c r="N21" s="1">
        <v>7541</v>
      </c>
      <c r="O21" s="1">
        <v>37</v>
      </c>
      <c r="P21" s="1" t="s">
        <v>52</v>
      </c>
      <c r="Q21" s="1">
        <v>269.48</v>
      </c>
      <c r="R21" s="1">
        <v>189753</v>
      </c>
      <c r="S21" s="15" t="s">
        <v>82</v>
      </c>
      <c r="T21" s="1">
        <f>17645</f>
        <v>17645</v>
      </c>
      <c r="U21" s="24">
        <f>T21*1.1296</f>
        <v>19931.792</v>
      </c>
      <c r="V21" s="12">
        <v>0.18</v>
      </c>
      <c r="W21" s="15" t="s">
        <v>82</v>
      </c>
      <c r="X21" s="1">
        <v>25.49</v>
      </c>
      <c r="Y21" s="17">
        <f>X21*1.1296</f>
        <v>28.793504</v>
      </c>
      <c r="Z21" s="17">
        <v>1433</v>
      </c>
      <c r="AA21" s="17">
        <v>42811</v>
      </c>
      <c r="AC21" s="1">
        <v>59</v>
      </c>
      <c r="AD21" s="15" t="s">
        <v>82</v>
      </c>
      <c r="AE21" s="1">
        <f t="shared" si="8"/>
        <v>1026.1713</v>
      </c>
      <c r="AF21" s="1">
        <f>AE21*1.1296</f>
        <v>1159.16310048</v>
      </c>
      <c r="AG21" s="1">
        <v>182</v>
      </c>
      <c r="AH21" s="1">
        <v>1917</v>
      </c>
      <c r="AI21" s="1">
        <f t="shared" si="1"/>
        <v>105</v>
      </c>
      <c r="AJ21" s="1">
        <v>2</v>
      </c>
      <c r="AK21" s="1">
        <v>1</v>
      </c>
      <c r="AL21" s="1">
        <v>5</v>
      </c>
      <c r="AM21" s="1">
        <v>0</v>
      </c>
      <c r="AN21" s="1">
        <v>26</v>
      </c>
      <c r="AO21" s="1">
        <v>6</v>
      </c>
      <c r="AP21" s="1">
        <v>4</v>
      </c>
      <c r="AQ21" s="1" t="s">
        <v>52</v>
      </c>
      <c r="AR21" s="1">
        <v>2</v>
      </c>
      <c r="AS21" s="1">
        <v>1</v>
      </c>
      <c r="AW21" s="1">
        <v>14.5</v>
      </c>
      <c r="AX21" s="1" t="s">
        <v>82</v>
      </c>
      <c r="AY21" s="1">
        <v>11</v>
      </c>
      <c r="AZ21" s="1">
        <f>AY21*1.1296</f>
        <v>12.4256</v>
      </c>
      <c r="BA21" s="1">
        <v>0</v>
      </c>
      <c r="BB21" s="1">
        <f t="shared" si="2"/>
        <v>47754.4133333333</v>
      </c>
      <c r="BC21" s="1">
        <f t="shared" si="3"/>
        <v>5973.90260040727</v>
      </c>
      <c r="BD21" s="1">
        <f t="shared" si="4"/>
        <v>9.25</v>
      </c>
      <c r="BE21" s="1">
        <f t="shared" si="5"/>
        <v>5.98512</v>
      </c>
    </row>
    <row r="22" s="1" customFormat="1" spans="1:57">
      <c r="A22" s="1">
        <v>20</v>
      </c>
      <c r="B22" s="1" t="s">
        <v>108</v>
      </c>
      <c r="C22" s="1" t="s">
        <v>109</v>
      </c>
      <c r="D22" s="1" t="s">
        <v>110</v>
      </c>
      <c r="E22" s="1" t="s">
        <v>104</v>
      </c>
      <c r="F22" s="12">
        <v>0.09</v>
      </c>
      <c r="G22" s="12">
        <v>0.0225</v>
      </c>
      <c r="I22" s="14"/>
      <c r="J22" s="15" t="s">
        <v>52</v>
      </c>
      <c r="K22" s="14" t="s">
        <v>81</v>
      </c>
      <c r="L22" s="17">
        <v>88924</v>
      </c>
      <c r="M22" s="1">
        <v>2</v>
      </c>
      <c r="N22" s="1">
        <v>7541</v>
      </c>
      <c r="O22" s="1">
        <v>37</v>
      </c>
      <c r="P22" s="1" t="s">
        <v>52</v>
      </c>
      <c r="Q22" s="1">
        <v>269.48</v>
      </c>
      <c r="R22" s="1">
        <v>189753</v>
      </c>
      <c r="S22" s="15" t="s">
        <v>82</v>
      </c>
      <c r="T22" s="1">
        <f>17645</f>
        <v>17645</v>
      </c>
      <c r="U22" s="24">
        <f>T22*1.1296</f>
        <v>19931.792</v>
      </c>
      <c r="V22" s="12">
        <v>0.18</v>
      </c>
      <c r="W22" s="15" t="s">
        <v>82</v>
      </c>
      <c r="X22" s="1">
        <v>25.49</v>
      </c>
      <c r="Y22" s="17">
        <f>X22*1.1296</f>
        <v>28.793504</v>
      </c>
      <c r="Z22" s="17">
        <v>1433</v>
      </c>
      <c r="AA22" s="17">
        <v>42811</v>
      </c>
      <c r="AC22" s="1">
        <v>59</v>
      </c>
      <c r="AD22" s="15" t="s">
        <v>82</v>
      </c>
      <c r="AE22" s="1">
        <f t="shared" si="8"/>
        <v>839.5947</v>
      </c>
      <c r="AF22" s="1">
        <f>AE22*1.1296</f>
        <v>948.40617312</v>
      </c>
      <c r="AG22" s="1">
        <v>261</v>
      </c>
      <c r="AH22" s="1">
        <v>1966</v>
      </c>
      <c r="AI22" s="1">
        <f t="shared" si="1"/>
        <v>56</v>
      </c>
      <c r="AJ22" s="1">
        <v>0</v>
      </c>
      <c r="AK22" s="1">
        <v>1</v>
      </c>
      <c r="AL22" s="1">
        <v>6</v>
      </c>
      <c r="AM22" s="1">
        <v>0</v>
      </c>
      <c r="AN22" s="1">
        <v>27</v>
      </c>
      <c r="AO22" s="1">
        <v>2</v>
      </c>
      <c r="AP22" s="1">
        <v>1</v>
      </c>
      <c r="AQ22" s="1" t="s">
        <v>52</v>
      </c>
      <c r="AR22" s="1">
        <v>4</v>
      </c>
      <c r="AS22" s="1">
        <v>1</v>
      </c>
      <c r="AT22" s="1">
        <v>11</v>
      </c>
      <c r="AU22" s="1">
        <v>81</v>
      </c>
      <c r="AV22" s="1">
        <v>0</v>
      </c>
      <c r="AW22" s="1">
        <f t="shared" si="13"/>
        <v>0.92</v>
      </c>
      <c r="AX22" s="1" t="s">
        <v>82</v>
      </c>
      <c r="AY22" s="1">
        <v>9</v>
      </c>
      <c r="AZ22" s="1">
        <f>AY22*1.1296</f>
        <v>10.1664</v>
      </c>
      <c r="BA22" s="1">
        <v>0</v>
      </c>
      <c r="BB22" s="1">
        <f t="shared" si="2"/>
        <v>47754.4133333333</v>
      </c>
      <c r="BC22" s="1">
        <f t="shared" si="3"/>
        <v>5957.28833428364</v>
      </c>
      <c r="BD22" s="1">
        <f t="shared" si="4"/>
        <v>8.75</v>
      </c>
      <c r="BE22" s="1">
        <f t="shared" si="5"/>
        <v>3.21728</v>
      </c>
    </row>
    <row r="23" s="1" customFormat="1" spans="1:57">
      <c r="A23" s="1">
        <v>21</v>
      </c>
      <c r="B23" s="1" t="s">
        <v>111</v>
      </c>
      <c r="C23" s="1" t="s">
        <v>112</v>
      </c>
      <c r="D23" s="1" t="s">
        <v>113</v>
      </c>
      <c r="E23" s="1" t="s">
        <v>104</v>
      </c>
      <c r="F23" s="12">
        <v>0.55</v>
      </c>
      <c r="G23" s="12">
        <v>0.1375</v>
      </c>
      <c r="I23" s="14"/>
      <c r="J23" s="15" t="s">
        <v>52</v>
      </c>
      <c r="K23" s="14" t="s">
        <v>81</v>
      </c>
      <c r="L23" s="17">
        <v>88924</v>
      </c>
      <c r="M23" s="1">
        <v>1</v>
      </c>
      <c r="N23" s="1">
        <v>7541</v>
      </c>
      <c r="O23" s="1">
        <v>37</v>
      </c>
      <c r="P23" s="1" t="s">
        <v>52</v>
      </c>
      <c r="Q23" s="1">
        <v>269.48</v>
      </c>
      <c r="R23" s="1">
        <v>189753</v>
      </c>
      <c r="S23" s="15" t="s">
        <v>82</v>
      </c>
      <c r="T23" s="1">
        <f>17645</f>
        <v>17645</v>
      </c>
      <c r="U23" s="24">
        <f>T23*1.1296</f>
        <v>19931.792</v>
      </c>
      <c r="V23" s="12">
        <v>0.18</v>
      </c>
      <c r="W23" s="15" t="s">
        <v>82</v>
      </c>
      <c r="X23" s="1">
        <v>25.49</v>
      </c>
      <c r="Y23" s="17">
        <f>X23*1.1296</f>
        <v>28.793504</v>
      </c>
      <c r="Z23" s="17">
        <v>1433</v>
      </c>
      <c r="AA23" s="17">
        <v>42811</v>
      </c>
      <c r="AC23" s="1">
        <v>59</v>
      </c>
      <c r="AD23" s="15" t="s">
        <v>82</v>
      </c>
      <c r="AE23" s="1">
        <f t="shared" si="8"/>
        <v>5130.8565</v>
      </c>
      <c r="AF23" s="1">
        <f>AE23*1.1296</f>
        <v>5795.8155024</v>
      </c>
      <c r="AG23" s="1">
        <v>501</v>
      </c>
      <c r="AH23" s="1">
        <v>1921</v>
      </c>
      <c r="AI23" s="1">
        <f t="shared" si="1"/>
        <v>101</v>
      </c>
      <c r="AJ23" s="1">
        <v>2</v>
      </c>
      <c r="AK23" s="1">
        <v>1</v>
      </c>
      <c r="AL23" s="1">
        <v>9</v>
      </c>
      <c r="AM23" s="1">
        <v>0</v>
      </c>
      <c r="AN23" s="1">
        <v>51</v>
      </c>
      <c r="AO23" s="1">
        <v>8</v>
      </c>
      <c r="AP23" s="1">
        <v>6</v>
      </c>
      <c r="AQ23" s="1" t="s">
        <v>52</v>
      </c>
      <c r="AR23" s="1">
        <v>2</v>
      </c>
      <c r="AS23" s="1">
        <v>1</v>
      </c>
      <c r="AW23" s="1">
        <v>70.5</v>
      </c>
      <c r="AX23" s="1" t="s">
        <v>82</v>
      </c>
      <c r="AY23" s="1">
        <v>55</v>
      </c>
      <c r="AZ23" s="1">
        <f>AY23*1.1296</f>
        <v>62.128</v>
      </c>
      <c r="BA23" s="1">
        <v>288</v>
      </c>
      <c r="BB23" s="1">
        <f t="shared" si="2"/>
        <v>47754.2466666667</v>
      </c>
      <c r="BC23" s="1">
        <f t="shared" si="3"/>
        <v>6424.05281876364</v>
      </c>
      <c r="BD23" s="1">
        <f t="shared" si="4"/>
        <v>17</v>
      </c>
      <c r="BE23" s="1">
        <f t="shared" si="5"/>
        <v>84.7256</v>
      </c>
    </row>
    <row r="24" s="1" customFormat="1" spans="1:57">
      <c r="A24" s="1">
        <v>22</v>
      </c>
      <c r="B24" s="1" t="s">
        <v>114</v>
      </c>
      <c r="C24" s="1" t="s">
        <v>115</v>
      </c>
      <c r="D24" s="1" t="s">
        <v>116</v>
      </c>
      <c r="E24" s="1" t="s">
        <v>104</v>
      </c>
      <c r="F24" s="12">
        <v>0.14</v>
      </c>
      <c r="G24" s="12">
        <v>0.035</v>
      </c>
      <c r="I24" s="14"/>
      <c r="J24" s="15" t="s">
        <v>52</v>
      </c>
      <c r="K24" s="14" t="s">
        <v>81</v>
      </c>
      <c r="L24" s="17">
        <v>88924</v>
      </c>
      <c r="M24" s="1">
        <v>1</v>
      </c>
      <c r="N24" s="1">
        <v>7541</v>
      </c>
      <c r="O24" s="1">
        <v>37</v>
      </c>
      <c r="P24" s="1" t="s">
        <v>52</v>
      </c>
      <c r="Q24" s="1">
        <v>269.48</v>
      </c>
      <c r="R24" s="1">
        <v>189753</v>
      </c>
      <c r="S24" s="15" t="s">
        <v>82</v>
      </c>
      <c r="T24" s="1">
        <f>17645</f>
        <v>17645</v>
      </c>
      <c r="U24" s="24">
        <f>T24*1.1296</f>
        <v>19931.792</v>
      </c>
      <c r="V24" s="12">
        <v>0.18</v>
      </c>
      <c r="W24" s="15" t="s">
        <v>82</v>
      </c>
      <c r="X24" s="1">
        <v>25.49</v>
      </c>
      <c r="Y24" s="17">
        <f>X24*1.1296</f>
        <v>28.793504</v>
      </c>
      <c r="Z24" s="17">
        <v>1433</v>
      </c>
      <c r="AA24" s="17">
        <v>42811</v>
      </c>
      <c r="AC24" s="1">
        <v>59</v>
      </c>
      <c r="AD24" s="15" t="s">
        <v>82</v>
      </c>
      <c r="AE24" s="1">
        <f t="shared" si="8"/>
        <v>1306.0362</v>
      </c>
      <c r="AF24" s="1">
        <f>AE24*1.1296</f>
        <v>1475.29849152</v>
      </c>
      <c r="AG24" s="1">
        <v>268</v>
      </c>
      <c r="AH24" s="1">
        <v>1962</v>
      </c>
      <c r="AI24" s="1">
        <f t="shared" si="1"/>
        <v>60</v>
      </c>
      <c r="AJ24" s="1">
        <v>2</v>
      </c>
      <c r="AK24" s="1">
        <v>1</v>
      </c>
      <c r="AL24" s="1">
        <v>6</v>
      </c>
      <c r="AM24" s="1">
        <v>0</v>
      </c>
      <c r="AN24" s="1">
        <v>45</v>
      </c>
      <c r="AO24" s="1">
        <v>5</v>
      </c>
      <c r="AP24" s="1">
        <v>7</v>
      </c>
      <c r="AQ24" s="1" t="s">
        <v>52</v>
      </c>
      <c r="AR24" s="1">
        <v>2</v>
      </c>
      <c r="AS24" s="1">
        <v>1</v>
      </c>
      <c r="AT24" s="1">
        <v>1009</v>
      </c>
      <c r="AU24" s="1">
        <v>321</v>
      </c>
      <c r="AV24" s="1">
        <v>414.3</v>
      </c>
      <c r="AW24" s="1">
        <f t="shared" si="13"/>
        <v>17.443</v>
      </c>
      <c r="AX24" s="1" t="s">
        <v>82</v>
      </c>
      <c r="AY24" s="1">
        <v>14</v>
      </c>
      <c r="AZ24" s="1">
        <f>AY24*1.1296</f>
        <v>15.8144</v>
      </c>
      <c r="BA24" s="1">
        <v>1</v>
      </c>
      <c r="BB24" s="1">
        <f t="shared" si="2"/>
        <v>47754.2466666667</v>
      </c>
      <c r="BC24" s="1">
        <f t="shared" si="3"/>
        <v>6006.36945413818</v>
      </c>
      <c r="BD24" s="1">
        <f t="shared" si="4"/>
        <v>14</v>
      </c>
      <c r="BE24" s="1">
        <f t="shared" si="5"/>
        <v>7.45148</v>
      </c>
    </row>
    <row r="25" s="1" customFormat="1" spans="1:57">
      <c r="A25" s="1">
        <v>23</v>
      </c>
      <c r="B25" s="1" t="s">
        <v>117</v>
      </c>
      <c r="C25" s="1" t="s">
        <v>117</v>
      </c>
      <c r="D25" s="1" t="s">
        <v>118</v>
      </c>
      <c r="E25" s="1" t="s">
        <v>119</v>
      </c>
      <c r="F25" s="11">
        <v>0.693</v>
      </c>
      <c r="G25" s="11">
        <v>0.012</v>
      </c>
      <c r="I25" s="14"/>
      <c r="J25" s="15" t="s">
        <v>52</v>
      </c>
      <c r="K25" s="14" t="s">
        <v>120</v>
      </c>
      <c r="L25" s="17">
        <v>57000</v>
      </c>
      <c r="M25" s="1">
        <v>1</v>
      </c>
      <c r="N25" s="1">
        <v>7541</v>
      </c>
      <c r="O25" s="1">
        <v>27</v>
      </c>
      <c r="P25" s="1" t="s">
        <v>52</v>
      </c>
      <c r="Q25" s="1">
        <v>169.48</v>
      </c>
      <c r="R25" s="1">
        <v>189753</v>
      </c>
      <c r="S25" s="1" t="s">
        <v>82</v>
      </c>
      <c r="T25" s="1">
        <v>27716</v>
      </c>
      <c r="U25" s="24">
        <f t="shared" ref="U25:U30" si="14">T25*1.10911</f>
        <v>30740.09276</v>
      </c>
      <c r="V25" s="1">
        <f t="shared" ref="V25:V32" si="15">U25/L25</f>
        <v>0.539299872982456</v>
      </c>
      <c r="W25" s="1" t="s">
        <v>82</v>
      </c>
      <c r="X25" s="1">
        <v>1.042</v>
      </c>
      <c r="Y25" s="1">
        <f t="shared" ref="Y25:Y30" si="16">X25*1.0911</f>
        <v>1.1369262</v>
      </c>
      <c r="Z25" s="1">
        <v>6477</v>
      </c>
      <c r="AA25" s="1">
        <v>165042</v>
      </c>
      <c r="AB25" s="1">
        <v>1975</v>
      </c>
      <c r="AC25" s="1">
        <f t="shared" ref="AC25:AC33" si="17">2022-AB25</f>
        <v>47</v>
      </c>
      <c r="AD25" s="1" t="s">
        <v>82</v>
      </c>
      <c r="AE25" s="1">
        <f t="shared" ref="AE25:AE30" si="18">27716*F25</f>
        <v>19207.188</v>
      </c>
      <c r="AF25" s="1">
        <f t="shared" ref="AF25:AF30" si="19">AE25*1.0911</f>
        <v>20956.9628268</v>
      </c>
      <c r="AG25" s="1">
        <v>2489</v>
      </c>
      <c r="AH25" s="1">
        <v>1975</v>
      </c>
      <c r="AI25" s="1">
        <f t="shared" si="1"/>
        <v>47</v>
      </c>
      <c r="AJ25" s="1">
        <v>0</v>
      </c>
      <c r="AK25" s="1">
        <v>1</v>
      </c>
      <c r="AL25" s="1">
        <v>7</v>
      </c>
      <c r="AM25" s="1">
        <v>1</v>
      </c>
      <c r="AN25" s="1">
        <v>88</v>
      </c>
      <c r="AO25" s="1">
        <v>25</v>
      </c>
      <c r="AP25" s="1">
        <v>1</v>
      </c>
      <c r="AQ25" s="1" t="s">
        <v>52</v>
      </c>
      <c r="AR25" s="1">
        <v>0</v>
      </c>
      <c r="AS25" s="1">
        <v>1</v>
      </c>
      <c r="AW25" s="1">
        <v>116.2</v>
      </c>
      <c r="AX25" s="1" t="s">
        <v>82</v>
      </c>
      <c r="AY25" s="1">
        <v>59.142</v>
      </c>
      <c r="AZ25" s="1">
        <f t="shared" ref="AZ25:AZ30" si="20">AY25*1.0911</f>
        <v>64.5298362</v>
      </c>
      <c r="BA25" s="1">
        <v>93</v>
      </c>
      <c r="BB25" s="1">
        <f t="shared" si="2"/>
        <v>42415.2466666667</v>
      </c>
      <c r="BC25" s="1">
        <f t="shared" si="3"/>
        <v>20527.4301648066</v>
      </c>
      <c r="BD25" s="1">
        <f t="shared" si="4"/>
        <v>30.25</v>
      </c>
      <c r="BE25" s="1">
        <f t="shared" si="5"/>
        <v>54.94596724</v>
      </c>
    </row>
    <row r="26" s="1" customFormat="1" spans="1:57">
      <c r="A26" s="1">
        <v>24</v>
      </c>
      <c r="B26" s="8" t="s">
        <v>121</v>
      </c>
      <c r="C26" s="8" t="s">
        <v>121</v>
      </c>
      <c r="D26" s="1" t="s">
        <v>122</v>
      </c>
      <c r="E26" s="1" t="s">
        <v>119</v>
      </c>
      <c r="F26" s="11">
        <v>0.087</v>
      </c>
      <c r="G26" s="11">
        <v>0.001505108</v>
      </c>
      <c r="I26" s="14"/>
      <c r="J26" s="15" t="s">
        <v>52</v>
      </c>
      <c r="K26" s="14" t="s">
        <v>120</v>
      </c>
      <c r="L26" s="17">
        <v>57000</v>
      </c>
      <c r="M26" s="1">
        <v>1</v>
      </c>
      <c r="N26" s="1">
        <v>7541</v>
      </c>
      <c r="O26" s="1">
        <v>22</v>
      </c>
      <c r="P26" s="1" t="s">
        <v>52</v>
      </c>
      <c r="Q26" s="1">
        <v>67.67</v>
      </c>
      <c r="R26" s="1">
        <v>189753</v>
      </c>
      <c r="S26" s="1" t="s">
        <v>82</v>
      </c>
      <c r="T26" s="1">
        <v>27716</v>
      </c>
      <c r="U26" s="24">
        <f t="shared" si="14"/>
        <v>30740.09276</v>
      </c>
      <c r="V26" s="1">
        <f t="shared" si="15"/>
        <v>0.539299872982456</v>
      </c>
      <c r="W26" s="1" t="s">
        <v>82</v>
      </c>
      <c r="X26" s="1">
        <v>1.042</v>
      </c>
      <c r="Y26" s="1">
        <f t="shared" si="16"/>
        <v>1.1369262</v>
      </c>
      <c r="Z26" s="1">
        <v>6477</v>
      </c>
      <c r="AA26" s="1">
        <v>165042</v>
      </c>
      <c r="AB26" s="1">
        <v>1975</v>
      </c>
      <c r="AC26" s="1">
        <f t="shared" si="17"/>
        <v>47</v>
      </c>
      <c r="AD26" s="1" t="s">
        <v>82</v>
      </c>
      <c r="AE26" s="1">
        <f t="shared" si="18"/>
        <v>2411.292</v>
      </c>
      <c r="AF26" s="1">
        <f t="shared" si="19"/>
        <v>2630.9607012</v>
      </c>
      <c r="AG26" s="1">
        <v>971</v>
      </c>
      <c r="AH26" s="1">
        <v>1998</v>
      </c>
      <c r="AI26" s="1">
        <f t="shared" si="1"/>
        <v>24</v>
      </c>
      <c r="AJ26" s="1">
        <v>0</v>
      </c>
      <c r="AK26" s="1">
        <v>0</v>
      </c>
      <c r="AL26" s="1">
        <v>0</v>
      </c>
      <c r="AM26" s="1">
        <v>2</v>
      </c>
      <c r="AN26" s="1">
        <v>71</v>
      </c>
      <c r="AO26" s="1">
        <v>3</v>
      </c>
      <c r="AP26" s="1">
        <v>7</v>
      </c>
      <c r="AQ26" s="1" t="s">
        <v>52</v>
      </c>
      <c r="AR26" s="1">
        <v>0</v>
      </c>
      <c r="AS26" s="1">
        <v>1</v>
      </c>
      <c r="AW26" s="1">
        <v>32</v>
      </c>
      <c r="AX26" s="1" t="s">
        <v>82</v>
      </c>
      <c r="AY26" s="1">
        <v>218.718</v>
      </c>
      <c r="AZ26" s="1">
        <f t="shared" si="20"/>
        <v>238.6432098</v>
      </c>
      <c r="BA26" s="1">
        <v>2</v>
      </c>
      <c r="BB26" s="1">
        <f t="shared" si="2"/>
        <v>42397.445</v>
      </c>
      <c r="BC26" s="1">
        <f t="shared" si="3"/>
        <v>18721.2481533885</v>
      </c>
      <c r="BD26" s="1">
        <f t="shared" si="4"/>
        <v>19</v>
      </c>
      <c r="BE26" s="1">
        <f t="shared" si="5"/>
        <v>54.72864196</v>
      </c>
    </row>
    <row r="27" s="1" customFormat="1" spans="1:57">
      <c r="A27" s="1">
        <v>25</v>
      </c>
      <c r="B27" s="8" t="s">
        <v>123</v>
      </c>
      <c r="C27" s="8" t="s">
        <v>123</v>
      </c>
      <c r="D27" s="1" t="s">
        <v>124</v>
      </c>
      <c r="E27" s="1" t="s">
        <v>119</v>
      </c>
      <c r="F27" s="11">
        <v>0.059</v>
      </c>
      <c r="G27" s="11">
        <v>0.001016684</v>
      </c>
      <c r="I27" s="14"/>
      <c r="J27" s="15" t="s">
        <v>52</v>
      </c>
      <c r="K27" s="14" t="s">
        <v>120</v>
      </c>
      <c r="L27" s="17">
        <v>57000</v>
      </c>
      <c r="M27" s="1">
        <v>1</v>
      </c>
      <c r="N27" s="1">
        <v>7541</v>
      </c>
      <c r="O27" s="1">
        <v>35</v>
      </c>
      <c r="P27" s="1" t="s">
        <v>52</v>
      </c>
      <c r="Q27" s="1">
        <v>269.48</v>
      </c>
      <c r="R27" s="1">
        <v>189753</v>
      </c>
      <c r="S27" s="1" t="s">
        <v>82</v>
      </c>
      <c r="T27" s="1">
        <v>27716</v>
      </c>
      <c r="U27" s="24">
        <f t="shared" si="14"/>
        <v>30740.09276</v>
      </c>
      <c r="V27" s="1">
        <f t="shared" si="15"/>
        <v>0.539299872982456</v>
      </c>
      <c r="W27" s="1" t="s">
        <v>82</v>
      </c>
      <c r="X27" s="1">
        <v>1.042</v>
      </c>
      <c r="Y27" s="1">
        <f t="shared" si="16"/>
        <v>1.1369262</v>
      </c>
      <c r="Z27" s="1">
        <v>6477</v>
      </c>
      <c r="AA27" s="1">
        <v>165042</v>
      </c>
      <c r="AB27" s="1">
        <v>1975</v>
      </c>
      <c r="AC27" s="1">
        <f t="shared" si="17"/>
        <v>47</v>
      </c>
      <c r="AD27" s="1" t="s">
        <v>82</v>
      </c>
      <c r="AE27" s="1">
        <f t="shared" si="18"/>
        <v>1635.244</v>
      </c>
      <c r="AF27" s="1">
        <f t="shared" si="19"/>
        <v>1784.2147284</v>
      </c>
      <c r="AG27" s="1">
        <v>682</v>
      </c>
      <c r="AH27" s="1">
        <v>1985</v>
      </c>
      <c r="AI27" s="1">
        <f t="shared" si="1"/>
        <v>37</v>
      </c>
      <c r="AJ27" s="1">
        <v>2</v>
      </c>
      <c r="AK27" s="1">
        <v>1</v>
      </c>
      <c r="AL27" s="1">
        <v>1</v>
      </c>
      <c r="AM27" s="1">
        <v>2</v>
      </c>
      <c r="AN27" s="1">
        <v>74</v>
      </c>
      <c r="AO27" s="1">
        <v>2</v>
      </c>
      <c r="AP27" s="1">
        <v>1</v>
      </c>
      <c r="AQ27" s="1" t="s">
        <v>52</v>
      </c>
      <c r="AR27" s="1">
        <v>1</v>
      </c>
      <c r="AS27" s="1">
        <v>1</v>
      </c>
      <c r="AW27" s="1">
        <v>12.9</v>
      </c>
      <c r="AX27" s="1" t="s">
        <v>82</v>
      </c>
      <c r="AY27" s="1">
        <v>148.326</v>
      </c>
      <c r="AZ27" s="1">
        <f t="shared" si="20"/>
        <v>161.8384986</v>
      </c>
      <c r="BA27" s="1">
        <v>287</v>
      </c>
      <c r="BB27" s="1">
        <f t="shared" si="2"/>
        <v>42433.2466666667</v>
      </c>
      <c r="BC27" s="1">
        <f t="shared" si="3"/>
        <v>18619.4530649521</v>
      </c>
      <c r="BD27" s="1">
        <f t="shared" si="4"/>
        <v>19.75</v>
      </c>
      <c r="BE27" s="1">
        <f t="shared" si="5"/>
        <v>92.74769972</v>
      </c>
    </row>
    <row r="28" s="1" customFormat="1" spans="1:57">
      <c r="A28" s="1">
        <v>26</v>
      </c>
      <c r="B28" s="8" t="s">
        <v>125</v>
      </c>
      <c r="C28" s="8" t="s">
        <v>125</v>
      </c>
      <c r="D28" s="1" t="s">
        <v>126</v>
      </c>
      <c r="E28" s="1" t="s">
        <v>119</v>
      </c>
      <c r="F28" s="11">
        <v>0.026</v>
      </c>
      <c r="G28" s="11">
        <v>0.000443392</v>
      </c>
      <c r="I28" s="14"/>
      <c r="J28" s="15" t="s">
        <v>52</v>
      </c>
      <c r="K28" s="14" t="s">
        <v>120</v>
      </c>
      <c r="L28" s="17">
        <v>57000</v>
      </c>
      <c r="M28" s="1">
        <v>2</v>
      </c>
      <c r="N28" s="1">
        <v>7541</v>
      </c>
      <c r="O28" s="1">
        <v>37</v>
      </c>
      <c r="P28" s="1" t="s">
        <v>52</v>
      </c>
      <c r="Q28" s="1">
        <v>269.48</v>
      </c>
      <c r="R28" s="1">
        <v>189753</v>
      </c>
      <c r="S28" s="1" t="s">
        <v>82</v>
      </c>
      <c r="T28" s="1">
        <v>27716</v>
      </c>
      <c r="U28" s="24">
        <f t="shared" si="14"/>
        <v>30740.09276</v>
      </c>
      <c r="V28" s="1">
        <f t="shared" si="15"/>
        <v>0.539299872982456</v>
      </c>
      <c r="W28" s="1" t="s">
        <v>82</v>
      </c>
      <c r="X28" s="1">
        <v>1.042</v>
      </c>
      <c r="Y28" s="1">
        <f t="shared" si="16"/>
        <v>1.1369262</v>
      </c>
      <c r="Z28" s="1">
        <v>6477</v>
      </c>
      <c r="AA28" s="1">
        <v>165042</v>
      </c>
      <c r="AB28" s="1">
        <v>1975</v>
      </c>
      <c r="AC28" s="1">
        <f t="shared" si="17"/>
        <v>47</v>
      </c>
      <c r="AD28" s="1" t="s">
        <v>82</v>
      </c>
      <c r="AE28" s="1">
        <f t="shared" si="18"/>
        <v>720.616</v>
      </c>
      <c r="AF28" s="1">
        <f t="shared" si="19"/>
        <v>786.2641176</v>
      </c>
      <c r="AG28" s="1">
        <v>556</v>
      </c>
      <c r="AH28" s="1">
        <v>2001</v>
      </c>
      <c r="AI28" s="1">
        <f t="shared" si="1"/>
        <v>21</v>
      </c>
      <c r="AJ28" s="1">
        <v>0</v>
      </c>
      <c r="AK28" s="1">
        <v>1</v>
      </c>
      <c r="AL28" s="1">
        <v>0</v>
      </c>
      <c r="AM28" s="1">
        <v>2</v>
      </c>
      <c r="AN28" s="1">
        <v>44</v>
      </c>
      <c r="AO28" s="1">
        <v>1</v>
      </c>
      <c r="AP28" s="1">
        <v>1</v>
      </c>
      <c r="AQ28" s="1" t="s">
        <v>52</v>
      </c>
      <c r="AR28" s="1">
        <v>1</v>
      </c>
      <c r="AS28" s="1">
        <v>1</v>
      </c>
      <c r="AW28" s="1">
        <v>10.6</v>
      </c>
      <c r="AX28" s="1" t="s">
        <v>82</v>
      </c>
      <c r="AY28" s="1">
        <v>65.364</v>
      </c>
      <c r="AZ28" s="1">
        <f t="shared" si="20"/>
        <v>71.3186604</v>
      </c>
      <c r="BA28" s="1">
        <v>166</v>
      </c>
      <c r="BB28" s="1">
        <f t="shared" si="2"/>
        <v>42433.7466666667</v>
      </c>
      <c r="BC28" s="1">
        <f t="shared" si="3"/>
        <v>18515.6393730612</v>
      </c>
      <c r="BD28" s="1">
        <f t="shared" si="4"/>
        <v>11.75</v>
      </c>
      <c r="BE28" s="1">
        <f t="shared" si="5"/>
        <v>49.98373208</v>
      </c>
    </row>
    <row r="29" s="1" customFormat="1" spans="1:57">
      <c r="A29" s="1">
        <v>27</v>
      </c>
      <c r="B29" s="8" t="s">
        <v>127</v>
      </c>
      <c r="C29" s="8" t="s">
        <v>127</v>
      </c>
      <c r="D29" s="1" t="s">
        <v>128</v>
      </c>
      <c r="E29" s="1" t="s">
        <v>119</v>
      </c>
      <c r="F29" s="12">
        <v>0.07</v>
      </c>
      <c r="G29" s="12">
        <v>0.001208936</v>
      </c>
      <c r="I29" s="14"/>
      <c r="J29" s="15" t="s">
        <v>52</v>
      </c>
      <c r="K29" s="14" t="s">
        <v>120</v>
      </c>
      <c r="L29" s="17">
        <v>57000</v>
      </c>
      <c r="M29" s="1">
        <v>1</v>
      </c>
      <c r="N29" s="1">
        <v>7541</v>
      </c>
      <c r="O29" s="1">
        <v>27</v>
      </c>
      <c r="P29" s="1" t="s">
        <v>52</v>
      </c>
      <c r="Q29" s="1">
        <v>67.67</v>
      </c>
      <c r="R29" s="1">
        <v>189753</v>
      </c>
      <c r="S29" s="1" t="s">
        <v>82</v>
      </c>
      <c r="T29" s="1">
        <v>27716</v>
      </c>
      <c r="U29" s="24">
        <f t="shared" si="14"/>
        <v>30740.09276</v>
      </c>
      <c r="V29" s="1">
        <f t="shared" si="15"/>
        <v>0.539299872982456</v>
      </c>
      <c r="W29" s="1" t="s">
        <v>82</v>
      </c>
      <c r="X29" s="1">
        <v>1.042</v>
      </c>
      <c r="Y29" s="1">
        <f t="shared" si="16"/>
        <v>1.1369262</v>
      </c>
      <c r="Z29" s="1">
        <v>6477</v>
      </c>
      <c r="AA29" s="1">
        <v>165042</v>
      </c>
      <c r="AB29" s="1">
        <v>1975</v>
      </c>
      <c r="AC29" s="1">
        <f t="shared" si="17"/>
        <v>47</v>
      </c>
      <c r="AD29" s="1" t="s">
        <v>82</v>
      </c>
      <c r="AE29" s="1">
        <f t="shared" si="18"/>
        <v>1940.12</v>
      </c>
      <c r="AF29" s="1">
        <f t="shared" si="19"/>
        <v>2116.864932</v>
      </c>
      <c r="AG29" s="1">
        <v>864</v>
      </c>
      <c r="AH29" s="1">
        <v>1986</v>
      </c>
      <c r="AI29" s="1">
        <f t="shared" si="1"/>
        <v>36</v>
      </c>
      <c r="AJ29" s="1">
        <v>0</v>
      </c>
      <c r="AK29" s="1">
        <v>1</v>
      </c>
      <c r="AL29" s="1">
        <v>5</v>
      </c>
      <c r="AM29" s="1">
        <v>2</v>
      </c>
      <c r="AN29" s="1">
        <v>33</v>
      </c>
      <c r="AO29" s="1">
        <v>3</v>
      </c>
      <c r="AP29" s="1">
        <v>6</v>
      </c>
      <c r="AQ29" s="1" t="s">
        <v>52</v>
      </c>
      <c r="AR29" s="1">
        <v>0</v>
      </c>
      <c r="AS29" s="1">
        <v>1</v>
      </c>
      <c r="AW29" s="1">
        <v>23</v>
      </c>
      <c r="AX29" s="1" t="s">
        <v>82</v>
      </c>
      <c r="AY29" s="1">
        <v>175.98</v>
      </c>
      <c r="AZ29" s="1">
        <f t="shared" si="20"/>
        <v>192.011778</v>
      </c>
      <c r="BA29" s="1">
        <v>38</v>
      </c>
      <c r="BB29" s="1">
        <f t="shared" si="2"/>
        <v>42398.2783333333</v>
      </c>
      <c r="BC29" s="1">
        <f t="shared" si="3"/>
        <v>18665.9667198248</v>
      </c>
      <c r="BD29" s="1">
        <f t="shared" si="4"/>
        <v>10.75</v>
      </c>
      <c r="BE29" s="1">
        <f t="shared" si="5"/>
        <v>50.8023556</v>
      </c>
    </row>
    <row r="30" s="1" customFormat="1" spans="1:57">
      <c r="A30" s="1">
        <v>28</v>
      </c>
      <c r="B30" s="8" t="s">
        <v>129</v>
      </c>
      <c r="C30" s="8" t="s">
        <v>129</v>
      </c>
      <c r="D30" s="1" t="s">
        <v>130</v>
      </c>
      <c r="E30" s="1" t="s">
        <v>119</v>
      </c>
      <c r="F30" s="11">
        <v>0.063</v>
      </c>
      <c r="G30" s="11">
        <v>0.001089428</v>
      </c>
      <c r="I30" s="14"/>
      <c r="J30" s="15" t="s">
        <v>52</v>
      </c>
      <c r="K30" s="14" t="s">
        <v>120</v>
      </c>
      <c r="L30" s="17">
        <v>57000</v>
      </c>
      <c r="M30" s="1">
        <v>2</v>
      </c>
      <c r="N30" s="1">
        <v>7541</v>
      </c>
      <c r="O30" s="1">
        <v>37</v>
      </c>
      <c r="P30" s="1" t="s">
        <v>52</v>
      </c>
      <c r="Q30" s="1">
        <v>269.48</v>
      </c>
      <c r="R30" s="1">
        <v>189753</v>
      </c>
      <c r="S30" s="1" t="s">
        <v>82</v>
      </c>
      <c r="T30" s="1">
        <v>27716</v>
      </c>
      <c r="U30" s="24">
        <f t="shared" si="14"/>
        <v>30740.09276</v>
      </c>
      <c r="V30" s="1">
        <f t="shared" si="15"/>
        <v>0.539299872982456</v>
      </c>
      <c r="W30" s="1" t="s">
        <v>82</v>
      </c>
      <c r="X30" s="1">
        <v>1.042</v>
      </c>
      <c r="Y30" s="1">
        <f t="shared" si="16"/>
        <v>1.1369262</v>
      </c>
      <c r="Z30" s="1">
        <v>6477</v>
      </c>
      <c r="AA30" s="1">
        <v>165042</v>
      </c>
      <c r="AB30" s="1">
        <v>1975</v>
      </c>
      <c r="AC30" s="1">
        <f t="shared" si="17"/>
        <v>47</v>
      </c>
      <c r="AD30" s="1" t="s">
        <v>82</v>
      </c>
      <c r="AE30" s="1">
        <f t="shared" si="18"/>
        <v>1746.108</v>
      </c>
      <c r="AF30" s="1">
        <f t="shared" si="19"/>
        <v>1905.1784388</v>
      </c>
      <c r="AG30" s="1">
        <v>915</v>
      </c>
      <c r="AH30" s="1">
        <v>1994</v>
      </c>
      <c r="AI30" s="1">
        <f t="shared" si="1"/>
        <v>28</v>
      </c>
      <c r="AJ30" s="1">
        <v>2</v>
      </c>
      <c r="AK30" s="1">
        <v>3</v>
      </c>
      <c r="AL30" s="1">
        <v>2</v>
      </c>
      <c r="AM30" s="1">
        <v>0</v>
      </c>
      <c r="AN30" s="1">
        <v>62</v>
      </c>
      <c r="AO30" s="1">
        <v>2</v>
      </c>
      <c r="AP30" s="1">
        <v>6</v>
      </c>
      <c r="AQ30" s="1" t="s">
        <v>52</v>
      </c>
      <c r="AR30" s="1">
        <v>0</v>
      </c>
      <c r="AS30" s="1">
        <v>1</v>
      </c>
      <c r="AW30" s="1">
        <v>18.6</v>
      </c>
      <c r="AX30" s="1" t="s">
        <v>82</v>
      </c>
      <c r="AY30" s="1">
        <v>158.382</v>
      </c>
      <c r="AZ30" s="1">
        <f t="shared" si="20"/>
        <v>172.8106002</v>
      </c>
      <c r="BA30" s="1">
        <v>433</v>
      </c>
      <c r="BB30" s="1">
        <f t="shared" si="2"/>
        <v>42433.7466666667</v>
      </c>
      <c r="BC30" s="1">
        <f t="shared" si="3"/>
        <v>18650.995220443</v>
      </c>
      <c r="BD30" s="1">
        <f t="shared" si="4"/>
        <v>16.5</v>
      </c>
      <c r="BE30" s="1">
        <f t="shared" si="5"/>
        <v>125.08212004</v>
      </c>
    </row>
    <row r="31" s="1" customFormat="1" spans="1:57">
      <c r="A31" s="1">
        <v>29</v>
      </c>
      <c r="B31" s="1" t="s">
        <v>131</v>
      </c>
      <c r="C31" s="1" t="s">
        <v>132</v>
      </c>
      <c r="D31" s="1" t="s">
        <v>133</v>
      </c>
      <c r="E31" s="1" t="s">
        <v>134</v>
      </c>
      <c r="F31" s="12">
        <v>0.72</v>
      </c>
      <c r="G31" s="12">
        <v>0.041256</v>
      </c>
      <c r="I31" s="14"/>
      <c r="J31" s="15" t="s">
        <v>52</v>
      </c>
      <c r="K31" s="14" t="s">
        <v>57</v>
      </c>
      <c r="L31" s="17">
        <v>88924</v>
      </c>
      <c r="M31" s="1">
        <v>1</v>
      </c>
      <c r="N31" s="1">
        <v>7541</v>
      </c>
      <c r="O31" s="1">
        <v>37</v>
      </c>
      <c r="P31" s="1" t="s">
        <v>52</v>
      </c>
      <c r="Q31" s="1">
        <v>269.48</v>
      </c>
      <c r="R31" s="1">
        <v>189753</v>
      </c>
      <c r="S31" s="1" t="s">
        <v>52</v>
      </c>
      <c r="T31" s="1">
        <v>4060</v>
      </c>
      <c r="U31" s="1">
        <v>4060</v>
      </c>
      <c r="V31" s="1">
        <f t="shared" si="15"/>
        <v>0.045656965498628</v>
      </c>
      <c r="W31" s="1" t="s">
        <v>52</v>
      </c>
      <c r="X31" s="1">
        <v>-0.41</v>
      </c>
      <c r="Y31" s="1">
        <v>-0.41</v>
      </c>
      <c r="Z31" s="1">
        <v>1247</v>
      </c>
      <c r="AA31" s="1">
        <v>13800</v>
      </c>
      <c r="AB31" s="1">
        <v>2002</v>
      </c>
      <c r="AC31" s="1">
        <f t="shared" si="17"/>
        <v>20</v>
      </c>
      <c r="AD31" s="1" t="s">
        <v>52</v>
      </c>
      <c r="AE31" s="1">
        <f t="shared" ref="AE31:AE94" si="21">9328.83*F31</f>
        <v>6716.7576</v>
      </c>
      <c r="AF31" s="1">
        <v>6716.7576</v>
      </c>
      <c r="AG31" s="1">
        <v>820</v>
      </c>
      <c r="AH31" s="1">
        <v>1981</v>
      </c>
      <c r="AI31" s="1">
        <f t="shared" si="1"/>
        <v>41</v>
      </c>
      <c r="AJ31" s="1">
        <v>2</v>
      </c>
      <c r="AK31" s="1">
        <v>1</v>
      </c>
      <c r="AL31" s="1">
        <v>5</v>
      </c>
      <c r="AM31" s="1">
        <v>3</v>
      </c>
      <c r="AN31" s="1">
        <v>89</v>
      </c>
      <c r="AO31" s="1">
        <v>3</v>
      </c>
      <c r="AP31" s="1">
        <v>0</v>
      </c>
      <c r="AQ31" s="1" t="s">
        <v>52</v>
      </c>
      <c r="AR31" s="1">
        <v>1</v>
      </c>
      <c r="AS31" s="1">
        <v>0</v>
      </c>
      <c r="AW31" s="1">
        <v>37</v>
      </c>
      <c r="AX31" s="1" t="s">
        <v>52</v>
      </c>
      <c r="AY31" s="1">
        <v>100.08</v>
      </c>
      <c r="AZ31" s="1">
        <v>1452.96</v>
      </c>
      <c r="BA31" s="1">
        <v>299</v>
      </c>
      <c r="BB31" s="1">
        <f t="shared" si="2"/>
        <v>47754.2466666667</v>
      </c>
      <c r="BC31" s="1">
        <f t="shared" si="3"/>
        <v>2427.94484154232</v>
      </c>
      <c r="BD31" s="1">
        <f t="shared" si="4"/>
        <v>25</v>
      </c>
      <c r="BE31" s="1">
        <f t="shared" si="5"/>
        <v>357.992</v>
      </c>
    </row>
    <row r="32" s="1" customFormat="1" spans="1:57">
      <c r="A32" s="1">
        <v>30</v>
      </c>
      <c r="B32" s="1" t="s">
        <v>135</v>
      </c>
      <c r="C32" s="1" t="s">
        <v>136</v>
      </c>
      <c r="D32" s="1" t="s">
        <v>137</v>
      </c>
      <c r="E32" s="1" t="s">
        <v>134</v>
      </c>
      <c r="F32" s="11">
        <v>0.1768</v>
      </c>
      <c r="G32" s="11">
        <v>0.01013064</v>
      </c>
      <c r="I32" s="14"/>
      <c r="J32" s="15" t="s">
        <v>52</v>
      </c>
      <c r="K32" s="14" t="s">
        <v>138</v>
      </c>
      <c r="L32" s="17">
        <v>88924</v>
      </c>
      <c r="M32" s="1">
        <v>2</v>
      </c>
      <c r="N32" s="1">
        <v>7541</v>
      </c>
      <c r="O32" s="1">
        <v>37</v>
      </c>
      <c r="P32" s="1" t="s">
        <v>52</v>
      </c>
      <c r="Q32" s="1">
        <v>269.48</v>
      </c>
      <c r="R32" s="1">
        <v>189753</v>
      </c>
      <c r="S32" s="1" t="s">
        <v>52</v>
      </c>
      <c r="T32" s="1">
        <v>4060</v>
      </c>
      <c r="U32" s="1">
        <v>4060</v>
      </c>
      <c r="V32" s="1">
        <f t="shared" si="15"/>
        <v>0.045656965498628</v>
      </c>
      <c r="W32" s="1" t="s">
        <v>52</v>
      </c>
      <c r="X32" s="1">
        <v>-0.41</v>
      </c>
      <c r="Y32" s="1">
        <v>-0.41</v>
      </c>
      <c r="Z32" s="1">
        <v>1247</v>
      </c>
      <c r="AA32" s="1">
        <v>13800</v>
      </c>
      <c r="AB32" s="1">
        <v>2002</v>
      </c>
      <c r="AC32" s="1">
        <f t="shared" si="17"/>
        <v>20</v>
      </c>
      <c r="AD32" s="1" t="s">
        <v>52</v>
      </c>
      <c r="AE32" s="1">
        <f t="shared" si="21"/>
        <v>1649.337144</v>
      </c>
      <c r="AF32" s="1">
        <v>1649.337144</v>
      </c>
      <c r="AG32" s="1">
        <v>210</v>
      </c>
      <c r="AH32" s="1">
        <v>1978</v>
      </c>
      <c r="AI32" s="1">
        <f t="shared" si="1"/>
        <v>44</v>
      </c>
      <c r="AJ32" s="1">
        <v>2</v>
      </c>
      <c r="AK32" s="1">
        <v>3</v>
      </c>
      <c r="AL32" s="1">
        <v>5</v>
      </c>
      <c r="AM32" s="1">
        <v>7</v>
      </c>
      <c r="AN32" s="1">
        <v>37</v>
      </c>
      <c r="AO32" s="1">
        <v>7</v>
      </c>
      <c r="AP32" s="1">
        <v>0</v>
      </c>
      <c r="AQ32" s="1" t="s">
        <v>52</v>
      </c>
      <c r="AR32" s="1">
        <v>2</v>
      </c>
      <c r="AS32" s="1">
        <v>0</v>
      </c>
      <c r="AW32" s="1">
        <v>34.5</v>
      </c>
      <c r="AX32" s="1" t="s">
        <v>52</v>
      </c>
      <c r="AY32" s="1">
        <v>24.5752</v>
      </c>
      <c r="AZ32" s="1">
        <v>356.7824</v>
      </c>
      <c r="BA32" s="1">
        <v>219</v>
      </c>
      <c r="BB32" s="1">
        <f t="shared" si="2"/>
        <v>47754.4133333333</v>
      </c>
      <c r="BC32" s="1">
        <f t="shared" si="3"/>
        <v>1912.27025463323</v>
      </c>
      <c r="BD32" s="1">
        <f t="shared" si="4"/>
        <v>14</v>
      </c>
      <c r="BE32" s="1">
        <f t="shared" si="5"/>
        <v>122.45648</v>
      </c>
    </row>
    <row r="33" s="1" customFormat="1" hidden="1" spans="2:35">
      <c r="B33" t="s">
        <v>139</v>
      </c>
      <c r="C33" t="s">
        <v>140</v>
      </c>
      <c r="D33"/>
      <c r="E33" t="s">
        <v>141</v>
      </c>
      <c r="I33" s="14"/>
      <c r="J33" s="15" t="s">
        <v>52</v>
      </c>
      <c r="K33" s="14"/>
      <c r="L33" s="17">
        <v>57000</v>
      </c>
      <c r="M33" s="1">
        <v>2</v>
      </c>
      <c r="N33" s="1">
        <v>7541</v>
      </c>
      <c r="O33" s="1">
        <v>37</v>
      </c>
      <c r="P33" s="1" t="s">
        <v>52</v>
      </c>
      <c r="Q33" s="1">
        <v>269.48</v>
      </c>
      <c r="R33" s="1">
        <v>0.189753</v>
      </c>
      <c r="S33" s="1" t="s">
        <v>52</v>
      </c>
      <c r="T33" s="1" t="s">
        <v>142</v>
      </c>
      <c r="U33" s="24"/>
      <c r="Z33" s="1">
        <v>60</v>
      </c>
      <c r="AA33" s="19">
        <v>239</v>
      </c>
      <c r="AC33" s="1">
        <f t="shared" si="17"/>
        <v>2022</v>
      </c>
      <c r="AD33" s="1" t="s">
        <v>52</v>
      </c>
      <c r="AE33" s="1">
        <f t="shared" si="21"/>
        <v>0</v>
      </c>
      <c r="AG33" s="1">
        <v>60</v>
      </c>
      <c r="AI33" s="1">
        <f t="shared" si="1"/>
        <v>2022</v>
      </c>
    </row>
    <row r="34" s="1" customFormat="1" hidden="1" spans="2:35">
      <c r="B34" s="9" t="s">
        <v>143</v>
      </c>
      <c r="C34" s="9" t="s">
        <v>143</v>
      </c>
      <c r="D34" s="9"/>
      <c r="E34" s="9" t="s">
        <v>143</v>
      </c>
      <c r="G34" s="11">
        <v>0.018</v>
      </c>
      <c r="I34" s="14"/>
      <c r="J34" s="15" t="s">
        <v>52</v>
      </c>
      <c r="K34" s="14"/>
      <c r="L34" s="17">
        <v>1547000</v>
      </c>
      <c r="M34" s="1">
        <v>2</v>
      </c>
      <c r="N34" s="1">
        <v>7541</v>
      </c>
      <c r="O34" s="1">
        <v>37</v>
      </c>
      <c r="P34" s="1" t="s">
        <v>52</v>
      </c>
      <c r="Q34" s="1">
        <v>269.48</v>
      </c>
      <c r="R34" s="1">
        <v>0.189753</v>
      </c>
      <c r="S34" s="1" t="s">
        <v>52</v>
      </c>
      <c r="T34" s="1" t="s">
        <v>144</v>
      </c>
      <c r="U34" s="24"/>
      <c r="AA34" s="1">
        <v>62285</v>
      </c>
      <c r="AB34" s="1" t="e">
        <v>#NAME?</v>
      </c>
      <c r="AC34" s="28">
        <f>2022-1989</f>
        <v>33</v>
      </c>
      <c r="AD34" s="1" t="s">
        <v>52</v>
      </c>
      <c r="AE34" s="1">
        <f t="shared" si="21"/>
        <v>0</v>
      </c>
      <c r="AI34" s="1">
        <f t="shared" si="1"/>
        <v>2022</v>
      </c>
    </row>
    <row r="35" s="1" customFormat="1" hidden="1" spans="2:35">
      <c r="B35" t="s">
        <v>145</v>
      </c>
      <c r="C35" t="s">
        <v>146</v>
      </c>
      <c r="D35" s="10"/>
      <c r="E35" s="10" t="s">
        <v>147</v>
      </c>
      <c r="I35" s="14"/>
      <c r="J35" s="15" t="s">
        <v>52</v>
      </c>
      <c r="K35" s="14"/>
      <c r="L35" s="17">
        <v>57000</v>
      </c>
      <c r="M35" s="1">
        <v>2</v>
      </c>
      <c r="N35" s="1">
        <v>7541</v>
      </c>
      <c r="O35" s="1">
        <v>37</v>
      </c>
      <c r="P35" s="1" t="s">
        <v>52</v>
      </c>
      <c r="Q35" s="1">
        <v>269.48</v>
      </c>
      <c r="R35" s="1">
        <v>0.189753</v>
      </c>
      <c r="U35" s="24"/>
      <c r="Y35" s="26"/>
      <c r="Z35" s="19">
        <v>203</v>
      </c>
      <c r="AA35" s="19">
        <v>1333</v>
      </c>
      <c r="AC35" s="1">
        <f>2022-AB35</f>
        <v>2022</v>
      </c>
      <c r="AD35" s="15" t="s">
        <v>82</v>
      </c>
      <c r="AE35" s="1">
        <f t="shared" si="21"/>
        <v>0</v>
      </c>
      <c r="AI35" s="1">
        <f t="shared" si="1"/>
        <v>2022</v>
      </c>
    </row>
    <row r="36" s="1" customFormat="1" hidden="1" spans="2:35">
      <c r="B36" t="s">
        <v>148</v>
      </c>
      <c r="C36" t="s">
        <v>149</v>
      </c>
      <c r="D36" s="10"/>
      <c r="E36" s="10" t="s">
        <v>150</v>
      </c>
      <c r="I36" s="14"/>
      <c r="J36" s="15" t="s">
        <v>52</v>
      </c>
      <c r="K36" s="14"/>
      <c r="L36" s="17">
        <v>57000</v>
      </c>
      <c r="M36" s="1">
        <v>2</v>
      </c>
      <c r="N36" s="1">
        <v>7541</v>
      </c>
      <c r="O36" s="1">
        <v>37</v>
      </c>
      <c r="P36" s="1" t="s">
        <v>52</v>
      </c>
      <c r="Q36" s="1">
        <v>269.48</v>
      </c>
      <c r="R36" s="1">
        <v>0.189753</v>
      </c>
      <c r="U36" s="24"/>
      <c r="Y36" s="26"/>
      <c r="Z36" s="19">
        <v>138</v>
      </c>
      <c r="AA36" s="19">
        <v>2044.7</v>
      </c>
      <c r="AC36" s="1">
        <f>2022-AB36</f>
        <v>2022</v>
      </c>
      <c r="AD36" s="15" t="s">
        <v>82</v>
      </c>
      <c r="AE36" s="1">
        <f t="shared" si="21"/>
        <v>0</v>
      </c>
      <c r="AI36" s="1">
        <f t="shared" si="1"/>
        <v>2022</v>
      </c>
    </row>
    <row r="37" s="1" customFormat="1" hidden="1" spans="2:49">
      <c r="B37" t="s">
        <v>151</v>
      </c>
      <c r="C37" t="s">
        <v>152</v>
      </c>
      <c r="D37" s="10"/>
      <c r="E37" s="10" t="s">
        <v>153</v>
      </c>
      <c r="I37" s="14"/>
      <c r="J37" s="15" t="s">
        <v>52</v>
      </c>
      <c r="K37" s="14"/>
      <c r="L37" s="17">
        <v>57000</v>
      </c>
      <c r="M37" s="1">
        <v>2</v>
      </c>
      <c r="N37" s="1">
        <v>7541</v>
      </c>
      <c r="O37" s="1">
        <v>37</v>
      </c>
      <c r="P37" s="1" t="s">
        <v>52</v>
      </c>
      <c r="Q37" s="1">
        <v>269.48</v>
      </c>
      <c r="R37" s="1">
        <v>0.189753</v>
      </c>
      <c r="S37" s="1" t="s">
        <v>154</v>
      </c>
      <c r="T37" s="19">
        <v>2343.9</v>
      </c>
      <c r="U37" s="24"/>
      <c r="Z37" s="1">
        <v>415</v>
      </c>
      <c r="AA37" s="17">
        <v>9234</v>
      </c>
      <c r="AB37" s="27">
        <v>1856</v>
      </c>
      <c r="AC37" s="1">
        <v>166</v>
      </c>
      <c r="AD37" s="1" t="s">
        <v>154</v>
      </c>
      <c r="AE37" s="1">
        <f t="shared" si="21"/>
        <v>0</v>
      </c>
      <c r="AG37" s="1">
        <v>415</v>
      </c>
      <c r="AH37" s="1">
        <v>1856</v>
      </c>
      <c r="AI37" s="1">
        <f t="shared" si="1"/>
        <v>166</v>
      </c>
      <c r="AJ37" s="1">
        <v>2</v>
      </c>
      <c r="AK37" s="1">
        <v>1</v>
      </c>
      <c r="AL37" s="1">
        <v>4</v>
      </c>
      <c r="AS37" s="1">
        <v>1</v>
      </c>
      <c r="AW37" s="1">
        <v>44.2</v>
      </c>
    </row>
    <row r="38" s="1" customFormat="1" hidden="1" spans="2:35">
      <c r="B38" t="s">
        <v>155</v>
      </c>
      <c r="C38" t="s">
        <v>156</v>
      </c>
      <c r="D38" s="10"/>
      <c r="E38" s="10" t="s">
        <v>157</v>
      </c>
      <c r="I38" s="14"/>
      <c r="J38" s="15" t="s">
        <v>52</v>
      </c>
      <c r="K38" s="14"/>
      <c r="L38" s="17">
        <v>57000</v>
      </c>
      <c r="M38" s="1">
        <v>2</v>
      </c>
      <c r="N38" s="1">
        <v>7541</v>
      </c>
      <c r="O38" s="1">
        <v>37</v>
      </c>
      <c r="P38" s="1" t="s">
        <v>52</v>
      </c>
      <c r="Q38" s="1">
        <v>269.48</v>
      </c>
      <c r="R38" s="1">
        <v>0.189753</v>
      </c>
      <c r="U38" s="24"/>
      <c r="AC38" s="1">
        <f>2022-AB38</f>
        <v>2022</v>
      </c>
      <c r="AD38" s="1" t="s">
        <v>52</v>
      </c>
      <c r="AE38" s="1">
        <f t="shared" si="21"/>
        <v>0</v>
      </c>
      <c r="AI38" s="1">
        <f t="shared" si="1"/>
        <v>2022</v>
      </c>
    </row>
    <row r="39" s="1" customFormat="1" hidden="1" spans="2:49">
      <c r="B39" t="s">
        <v>158</v>
      </c>
      <c r="C39" t="s">
        <v>159</v>
      </c>
      <c r="D39"/>
      <c r="E39" t="s">
        <v>160</v>
      </c>
      <c r="I39" s="14"/>
      <c r="J39" s="15" t="s">
        <v>52</v>
      </c>
      <c r="K39" s="14"/>
      <c r="L39" s="17">
        <v>57000</v>
      </c>
      <c r="M39" s="1">
        <v>2</v>
      </c>
      <c r="N39" s="1">
        <v>7541</v>
      </c>
      <c r="O39" s="1">
        <v>37</v>
      </c>
      <c r="P39" s="1" t="s">
        <v>52</v>
      </c>
      <c r="Q39" s="1">
        <v>269.48</v>
      </c>
      <c r="R39" s="1">
        <v>0.189753</v>
      </c>
      <c r="S39" s="1" t="s">
        <v>52</v>
      </c>
      <c r="T39" s="1" t="s">
        <v>161</v>
      </c>
      <c r="U39" s="24"/>
      <c r="V39" s="12">
        <v>0.15</v>
      </c>
      <c r="AC39" s="1">
        <f>2022-AB39</f>
        <v>2022</v>
      </c>
      <c r="AD39" s="1" t="s">
        <v>52</v>
      </c>
      <c r="AE39" s="1">
        <f t="shared" si="21"/>
        <v>0</v>
      </c>
      <c r="AI39" s="1">
        <f t="shared" si="1"/>
        <v>2022</v>
      </c>
      <c r="AW39" s="1">
        <v>81.4</v>
      </c>
    </row>
    <row r="40" s="1" customFormat="1" hidden="1" spans="2:35">
      <c r="B40" t="s">
        <v>162</v>
      </c>
      <c r="C40" t="s">
        <v>163</v>
      </c>
      <c r="D40" s="10"/>
      <c r="E40" s="10" t="s">
        <v>164</v>
      </c>
      <c r="I40" s="14"/>
      <c r="J40" s="15" t="s">
        <v>52</v>
      </c>
      <c r="K40" s="14"/>
      <c r="L40" s="17">
        <v>57000</v>
      </c>
      <c r="M40" s="1">
        <v>2</v>
      </c>
      <c r="N40" s="1">
        <v>7541</v>
      </c>
      <c r="O40" s="1">
        <v>37</v>
      </c>
      <c r="P40" s="1" t="s">
        <v>52</v>
      </c>
      <c r="Q40" s="1">
        <v>269.48</v>
      </c>
      <c r="R40" s="1">
        <v>0.189753</v>
      </c>
      <c r="S40" s="1" t="s">
        <v>52</v>
      </c>
      <c r="T40" s="1" t="s">
        <v>165</v>
      </c>
      <c r="U40" s="24"/>
      <c r="Y40" s="26"/>
      <c r="Z40" s="19">
        <v>1175</v>
      </c>
      <c r="AA40" s="19">
        <v>35657</v>
      </c>
      <c r="AB40" s="1">
        <v>1988</v>
      </c>
      <c r="AC40" s="1">
        <f>2022-1988</f>
        <v>34</v>
      </c>
      <c r="AD40" s="1" t="s">
        <v>52</v>
      </c>
      <c r="AE40" s="1">
        <f t="shared" si="21"/>
        <v>0</v>
      </c>
      <c r="AF40" s="26"/>
      <c r="AG40" s="19">
        <v>1175</v>
      </c>
      <c r="AH40" s="26">
        <v>1988</v>
      </c>
      <c r="AI40" s="1">
        <f t="shared" si="1"/>
        <v>34</v>
      </c>
    </row>
    <row r="41" s="1" customFormat="1" hidden="1" spans="2:35">
      <c r="B41" t="s">
        <v>166</v>
      </c>
      <c r="C41" t="s">
        <v>166</v>
      </c>
      <c r="D41" s="10"/>
      <c r="E41" s="10" t="s">
        <v>167</v>
      </c>
      <c r="I41" s="14"/>
      <c r="J41" s="15" t="s">
        <v>52</v>
      </c>
      <c r="K41" s="14"/>
      <c r="L41" s="17">
        <v>57000</v>
      </c>
      <c r="M41" s="1">
        <v>2</v>
      </c>
      <c r="N41" s="1">
        <v>7541</v>
      </c>
      <c r="O41" s="1">
        <v>37</v>
      </c>
      <c r="P41" s="1" t="s">
        <v>52</v>
      </c>
      <c r="Q41" s="1">
        <v>269.48</v>
      </c>
      <c r="R41" s="1">
        <v>0.189753</v>
      </c>
      <c r="U41" s="24"/>
      <c r="AA41" s="17">
        <v>18260</v>
      </c>
      <c r="AC41" s="1">
        <v>118</v>
      </c>
      <c r="AD41" s="1" t="s">
        <v>52</v>
      </c>
      <c r="AE41" s="1">
        <f t="shared" si="21"/>
        <v>0</v>
      </c>
      <c r="AI41" s="1">
        <f t="shared" si="1"/>
        <v>2022</v>
      </c>
    </row>
    <row r="42" s="1" customFormat="1" hidden="1" spans="2:35">
      <c r="B42" t="s">
        <v>168</v>
      </c>
      <c r="C42" t="s">
        <v>169</v>
      </c>
      <c r="D42"/>
      <c r="E42" t="s">
        <v>170</v>
      </c>
      <c r="I42" s="14"/>
      <c r="J42" s="15" t="s">
        <v>52</v>
      </c>
      <c r="K42" s="14"/>
      <c r="L42" s="17">
        <v>57000</v>
      </c>
      <c r="M42" s="1">
        <v>2</v>
      </c>
      <c r="N42" s="1">
        <v>7541</v>
      </c>
      <c r="O42" s="1">
        <v>37</v>
      </c>
      <c r="P42" s="1" t="s">
        <v>52</v>
      </c>
      <c r="Q42" s="1">
        <v>269.48</v>
      </c>
      <c r="R42" s="1">
        <v>0.189753</v>
      </c>
      <c r="S42" s="1" t="s">
        <v>52</v>
      </c>
      <c r="T42" s="1" t="s">
        <v>171</v>
      </c>
      <c r="U42" s="24"/>
      <c r="AC42" s="1">
        <f t="shared" ref="AC42:AC85" si="22">2022-AB42</f>
        <v>2022</v>
      </c>
      <c r="AD42" s="1" t="s">
        <v>52</v>
      </c>
      <c r="AE42" s="1">
        <f t="shared" si="21"/>
        <v>0</v>
      </c>
      <c r="AI42" s="1">
        <f t="shared" si="1"/>
        <v>2022</v>
      </c>
    </row>
    <row r="43" s="1" customFormat="1" hidden="1" spans="2:35">
      <c r="B43" t="s">
        <v>172</v>
      </c>
      <c r="C43" t="s">
        <v>173</v>
      </c>
      <c r="D43"/>
      <c r="E43" t="s">
        <v>174</v>
      </c>
      <c r="I43" s="14"/>
      <c r="J43" s="15" t="s">
        <v>52</v>
      </c>
      <c r="K43" s="14"/>
      <c r="L43" s="17">
        <v>57000</v>
      </c>
      <c r="M43" s="1">
        <v>2</v>
      </c>
      <c r="N43" s="1">
        <v>7541</v>
      </c>
      <c r="O43" s="1">
        <v>37</v>
      </c>
      <c r="P43" s="1" t="s">
        <v>52</v>
      </c>
      <c r="Q43" s="1">
        <v>269.48</v>
      </c>
      <c r="R43" s="1">
        <v>0.189753</v>
      </c>
      <c r="S43" s="1" t="s">
        <v>52</v>
      </c>
      <c r="T43" s="1" t="s">
        <v>175</v>
      </c>
      <c r="U43" s="24"/>
      <c r="Y43" s="26"/>
      <c r="Z43" s="19">
        <v>967</v>
      </c>
      <c r="AA43" s="19">
        <v>3273</v>
      </c>
      <c r="AC43" s="1">
        <f t="shared" si="22"/>
        <v>2022</v>
      </c>
      <c r="AD43" s="1" t="s">
        <v>52</v>
      </c>
      <c r="AE43" s="1">
        <f t="shared" si="21"/>
        <v>0</v>
      </c>
      <c r="AI43" s="1">
        <f t="shared" si="1"/>
        <v>2022</v>
      </c>
    </row>
    <row r="44" s="1" customFormat="1" hidden="1" spans="2:54">
      <c r="B44" t="s">
        <v>176</v>
      </c>
      <c r="C44" t="s">
        <v>177</v>
      </c>
      <c r="D44"/>
      <c r="E44" t="s">
        <v>178</v>
      </c>
      <c r="I44" s="14"/>
      <c r="J44" s="15" t="s">
        <v>52</v>
      </c>
      <c r="K44" s="14"/>
      <c r="L44" s="17">
        <v>57000</v>
      </c>
      <c r="M44" s="1">
        <v>2</v>
      </c>
      <c r="N44" s="1">
        <v>7541</v>
      </c>
      <c r="O44" s="1">
        <v>37</v>
      </c>
      <c r="P44" s="1" t="s">
        <v>52</v>
      </c>
      <c r="Q44" s="1">
        <v>269.48</v>
      </c>
      <c r="R44" s="1">
        <v>0.189753</v>
      </c>
      <c r="S44" s="1" t="s">
        <v>52</v>
      </c>
      <c r="T44" s="1" t="s">
        <v>179</v>
      </c>
      <c r="U44" s="24"/>
      <c r="AA44" s="19">
        <v>2672</v>
      </c>
      <c r="AC44" s="1">
        <f t="shared" si="22"/>
        <v>2022</v>
      </c>
      <c r="AD44" s="1" t="s">
        <v>52</v>
      </c>
      <c r="AE44" s="1">
        <f t="shared" si="21"/>
        <v>0</v>
      </c>
      <c r="AI44" s="1">
        <f t="shared" si="1"/>
        <v>2022</v>
      </c>
      <c r="BB44" s="17"/>
    </row>
    <row r="45" s="1" customFormat="1" hidden="1" spans="2:54">
      <c r="B45" t="s">
        <v>180</v>
      </c>
      <c r="C45" t="s">
        <v>181</v>
      </c>
      <c r="D45"/>
      <c r="E45" t="s">
        <v>182</v>
      </c>
      <c r="I45" s="14"/>
      <c r="J45" s="15" t="s">
        <v>52</v>
      </c>
      <c r="K45" s="14"/>
      <c r="L45" s="17">
        <v>57000</v>
      </c>
      <c r="M45" s="1">
        <v>2</v>
      </c>
      <c r="N45" s="1">
        <v>7541</v>
      </c>
      <c r="O45" s="1">
        <v>37</v>
      </c>
      <c r="P45" s="1" t="s">
        <v>52</v>
      </c>
      <c r="Q45" s="1">
        <v>269.48</v>
      </c>
      <c r="R45" s="1">
        <v>0.189753</v>
      </c>
      <c r="S45" s="1" t="s">
        <v>52</v>
      </c>
      <c r="T45" s="1" t="s">
        <v>183</v>
      </c>
      <c r="U45" s="24"/>
      <c r="Y45" s="26"/>
      <c r="Z45" s="19">
        <v>500</v>
      </c>
      <c r="AA45" s="19">
        <v>7000</v>
      </c>
      <c r="AC45" s="1">
        <f t="shared" si="22"/>
        <v>2022</v>
      </c>
      <c r="AD45" s="1" t="s">
        <v>52</v>
      </c>
      <c r="AE45" s="1">
        <f t="shared" si="21"/>
        <v>0</v>
      </c>
      <c r="AI45" s="1">
        <f t="shared" si="1"/>
        <v>2022</v>
      </c>
      <c r="BB45" s="17"/>
    </row>
    <row r="46" s="1" customFormat="1" hidden="1" spans="2:54">
      <c r="B46" t="s">
        <v>184</v>
      </c>
      <c r="C46" t="s">
        <v>185</v>
      </c>
      <c r="D46"/>
      <c r="E46" t="s">
        <v>182</v>
      </c>
      <c r="I46" s="14"/>
      <c r="J46" s="15" t="s">
        <v>52</v>
      </c>
      <c r="K46" s="14"/>
      <c r="L46" s="17">
        <v>57000</v>
      </c>
      <c r="M46" s="1">
        <v>2</v>
      </c>
      <c r="N46" s="1">
        <v>7541</v>
      </c>
      <c r="O46" s="1">
        <v>37</v>
      </c>
      <c r="P46" s="1" t="s">
        <v>52</v>
      </c>
      <c r="Q46" s="1">
        <v>269.48</v>
      </c>
      <c r="R46" s="1">
        <v>0.189753</v>
      </c>
      <c r="S46" s="1" t="s">
        <v>52</v>
      </c>
      <c r="T46" s="1" t="s">
        <v>183</v>
      </c>
      <c r="U46" s="24"/>
      <c r="Y46" s="26"/>
      <c r="Z46" s="19">
        <v>500</v>
      </c>
      <c r="AA46" s="19">
        <v>7000</v>
      </c>
      <c r="AC46" s="1">
        <f t="shared" si="22"/>
        <v>2022</v>
      </c>
      <c r="AD46" s="1" t="s">
        <v>52</v>
      </c>
      <c r="AE46" s="1">
        <f t="shared" si="21"/>
        <v>0</v>
      </c>
      <c r="AI46" s="1">
        <f t="shared" si="1"/>
        <v>2022</v>
      </c>
      <c r="BB46" s="17"/>
    </row>
    <row r="47" s="1" customFormat="1" hidden="1" spans="2:35">
      <c r="B47" t="s">
        <v>186</v>
      </c>
      <c r="C47" t="s">
        <v>187</v>
      </c>
      <c r="D47"/>
      <c r="E47" t="s">
        <v>182</v>
      </c>
      <c r="I47" s="14"/>
      <c r="J47" s="15" t="s">
        <v>52</v>
      </c>
      <c r="K47" s="14"/>
      <c r="L47" s="17">
        <v>57000</v>
      </c>
      <c r="M47" s="1">
        <v>2</v>
      </c>
      <c r="N47" s="1">
        <v>7541</v>
      </c>
      <c r="O47" s="1">
        <v>37</v>
      </c>
      <c r="P47" s="1" t="s">
        <v>52</v>
      </c>
      <c r="Q47" s="1">
        <v>269.48</v>
      </c>
      <c r="R47" s="1">
        <v>0.189753</v>
      </c>
      <c r="S47" s="1" t="s">
        <v>52</v>
      </c>
      <c r="T47" s="1" t="s">
        <v>183</v>
      </c>
      <c r="U47" s="24"/>
      <c r="Y47" s="26"/>
      <c r="Z47" s="19">
        <v>500</v>
      </c>
      <c r="AA47" s="19">
        <v>7000</v>
      </c>
      <c r="AC47" s="1">
        <f t="shared" si="22"/>
        <v>2022</v>
      </c>
      <c r="AD47" s="1" t="s">
        <v>52</v>
      </c>
      <c r="AE47" s="1">
        <f t="shared" si="21"/>
        <v>0</v>
      </c>
      <c r="AI47" s="1">
        <f t="shared" si="1"/>
        <v>2022</v>
      </c>
    </row>
    <row r="48" s="1" customFormat="1" hidden="1" spans="2:35">
      <c r="B48" t="s">
        <v>188</v>
      </c>
      <c r="C48" t="s">
        <v>189</v>
      </c>
      <c r="D48"/>
      <c r="E48" t="s">
        <v>182</v>
      </c>
      <c r="I48" s="14"/>
      <c r="J48" s="15" t="s">
        <v>52</v>
      </c>
      <c r="K48" s="14"/>
      <c r="L48" s="17">
        <v>57000</v>
      </c>
      <c r="M48" s="1">
        <v>2</v>
      </c>
      <c r="N48" s="1">
        <v>7541</v>
      </c>
      <c r="O48" s="1">
        <v>37</v>
      </c>
      <c r="P48" s="1" t="s">
        <v>52</v>
      </c>
      <c r="Q48" s="1">
        <v>269.48</v>
      </c>
      <c r="R48" s="1">
        <v>0.189753</v>
      </c>
      <c r="S48" s="1" t="s">
        <v>52</v>
      </c>
      <c r="T48" s="1" t="s">
        <v>183</v>
      </c>
      <c r="U48" s="24"/>
      <c r="Y48" s="26"/>
      <c r="Z48" s="19">
        <v>500</v>
      </c>
      <c r="AA48" s="19">
        <v>7000</v>
      </c>
      <c r="AC48" s="1">
        <f t="shared" si="22"/>
        <v>2022</v>
      </c>
      <c r="AD48" s="1" t="s">
        <v>52</v>
      </c>
      <c r="AE48" s="1">
        <f t="shared" si="21"/>
        <v>0</v>
      </c>
      <c r="AI48" s="1">
        <f t="shared" si="1"/>
        <v>2022</v>
      </c>
    </row>
    <row r="49" s="1" customFormat="1" ht="18" hidden="1" spans="2:35">
      <c r="B49" t="s">
        <v>190</v>
      </c>
      <c r="C49" t="s">
        <v>191</v>
      </c>
      <c r="D49"/>
      <c r="E49" t="s">
        <v>192</v>
      </c>
      <c r="I49" s="14"/>
      <c r="J49" s="15" t="s">
        <v>52</v>
      </c>
      <c r="K49" s="14"/>
      <c r="L49" s="17">
        <v>57000</v>
      </c>
      <c r="M49" s="1">
        <v>2</v>
      </c>
      <c r="N49" s="1">
        <v>7541</v>
      </c>
      <c r="O49" s="1">
        <v>37</v>
      </c>
      <c r="P49" s="1" t="s">
        <v>52</v>
      </c>
      <c r="Q49" s="1">
        <v>269.48</v>
      </c>
      <c r="R49" s="1">
        <v>0.189753</v>
      </c>
      <c r="S49" s="1" t="s">
        <v>52</v>
      </c>
      <c r="T49" s="20" t="s">
        <v>193</v>
      </c>
      <c r="U49" s="24"/>
      <c r="AA49" s="19">
        <v>45</v>
      </c>
      <c r="AC49" s="1">
        <f t="shared" si="22"/>
        <v>2022</v>
      </c>
      <c r="AD49" s="1" t="s">
        <v>52</v>
      </c>
      <c r="AE49" s="1">
        <f t="shared" si="21"/>
        <v>0</v>
      </c>
      <c r="AI49" s="1">
        <f t="shared" si="1"/>
        <v>2022</v>
      </c>
    </row>
    <row r="50" s="1" customFormat="1" ht="18" hidden="1" spans="2:54">
      <c r="B50" t="s">
        <v>194</v>
      </c>
      <c r="C50" t="s">
        <v>195</v>
      </c>
      <c r="D50"/>
      <c r="E50" t="s">
        <v>192</v>
      </c>
      <c r="I50" s="14"/>
      <c r="J50" s="15" t="s">
        <v>52</v>
      </c>
      <c r="K50" s="14"/>
      <c r="L50" s="17">
        <v>57000</v>
      </c>
      <c r="M50" s="1">
        <v>2</v>
      </c>
      <c r="N50" s="1">
        <v>7541</v>
      </c>
      <c r="O50" s="1">
        <v>37</v>
      </c>
      <c r="P50" s="1" t="s">
        <v>52</v>
      </c>
      <c r="Q50" s="1">
        <v>269.48</v>
      </c>
      <c r="R50" s="1">
        <v>0.189753</v>
      </c>
      <c r="S50" s="1" t="s">
        <v>52</v>
      </c>
      <c r="T50" s="20" t="s">
        <v>193</v>
      </c>
      <c r="U50" s="24"/>
      <c r="AA50" s="19">
        <v>45</v>
      </c>
      <c r="AC50" s="1">
        <f t="shared" si="22"/>
        <v>2022</v>
      </c>
      <c r="AD50" s="1" t="s">
        <v>52</v>
      </c>
      <c r="AE50" s="1">
        <f t="shared" si="21"/>
        <v>0</v>
      </c>
      <c r="AI50" s="1">
        <f t="shared" si="1"/>
        <v>2022</v>
      </c>
      <c r="BB50" s="17"/>
    </row>
    <row r="51" s="1" customFormat="1" ht="18" hidden="1" spans="2:54">
      <c r="B51" t="s">
        <v>196</v>
      </c>
      <c r="C51" t="s">
        <v>197</v>
      </c>
      <c r="D51"/>
      <c r="E51" t="s">
        <v>192</v>
      </c>
      <c r="I51" s="14"/>
      <c r="J51" s="15" t="s">
        <v>52</v>
      </c>
      <c r="K51" s="14"/>
      <c r="L51" s="17">
        <v>57000</v>
      </c>
      <c r="M51" s="1">
        <v>2</v>
      </c>
      <c r="N51" s="1">
        <v>7541</v>
      </c>
      <c r="O51" s="1">
        <v>37</v>
      </c>
      <c r="P51" s="1" t="s">
        <v>52</v>
      </c>
      <c r="Q51" s="1">
        <v>269.48</v>
      </c>
      <c r="R51" s="1">
        <v>0.189753</v>
      </c>
      <c r="S51" s="1" t="s">
        <v>52</v>
      </c>
      <c r="T51" s="20" t="s">
        <v>193</v>
      </c>
      <c r="U51" s="24"/>
      <c r="AA51" s="19">
        <v>45</v>
      </c>
      <c r="AC51" s="1">
        <f t="shared" si="22"/>
        <v>2022</v>
      </c>
      <c r="AD51" s="1" t="s">
        <v>52</v>
      </c>
      <c r="AE51" s="1">
        <f t="shared" si="21"/>
        <v>0</v>
      </c>
      <c r="AI51" s="1">
        <f t="shared" si="1"/>
        <v>2022</v>
      </c>
      <c r="BB51" s="17"/>
    </row>
    <row r="52" s="1" customFormat="1" hidden="1" spans="2:54">
      <c r="B52" t="s">
        <v>198</v>
      </c>
      <c r="C52" t="s">
        <v>199</v>
      </c>
      <c r="D52"/>
      <c r="E52" t="s">
        <v>200</v>
      </c>
      <c r="I52" s="14"/>
      <c r="J52" s="15" t="s">
        <v>52</v>
      </c>
      <c r="K52" s="14"/>
      <c r="L52" s="17">
        <v>57000</v>
      </c>
      <c r="M52" s="1">
        <v>2</v>
      </c>
      <c r="N52" s="1">
        <v>7541</v>
      </c>
      <c r="O52" s="1">
        <v>37</v>
      </c>
      <c r="P52" s="1" t="s">
        <v>52</v>
      </c>
      <c r="Q52" s="1">
        <v>269.48</v>
      </c>
      <c r="R52" s="1">
        <v>0.189753</v>
      </c>
      <c r="S52" s="1" t="s">
        <v>52</v>
      </c>
      <c r="T52" s="1" t="s">
        <v>201</v>
      </c>
      <c r="U52" s="24"/>
      <c r="AC52" s="1">
        <f t="shared" si="22"/>
        <v>2022</v>
      </c>
      <c r="AD52" s="1" t="s">
        <v>52</v>
      </c>
      <c r="AE52" s="1">
        <f t="shared" si="21"/>
        <v>0</v>
      </c>
      <c r="AI52" s="1">
        <f t="shared" si="1"/>
        <v>2022</v>
      </c>
      <c r="BB52" s="17"/>
    </row>
    <row r="53" s="1" customFormat="1" hidden="1" spans="2:54">
      <c r="B53" t="s">
        <v>202</v>
      </c>
      <c r="C53" t="s">
        <v>203</v>
      </c>
      <c r="D53"/>
      <c r="E53" t="s">
        <v>200</v>
      </c>
      <c r="I53" s="14"/>
      <c r="J53" s="15" t="s">
        <v>52</v>
      </c>
      <c r="K53" s="14"/>
      <c r="L53" s="17">
        <v>57000</v>
      </c>
      <c r="M53" s="1">
        <v>2</v>
      </c>
      <c r="N53" s="1">
        <v>7541</v>
      </c>
      <c r="O53" s="1">
        <v>37</v>
      </c>
      <c r="P53" s="1" t="s">
        <v>52</v>
      </c>
      <c r="Q53" s="1">
        <v>269.48</v>
      </c>
      <c r="R53" s="1">
        <v>0.189753</v>
      </c>
      <c r="S53" s="1" t="s">
        <v>52</v>
      </c>
      <c r="T53" s="1" t="s">
        <v>201</v>
      </c>
      <c r="U53" s="24"/>
      <c r="AC53" s="1">
        <f t="shared" si="22"/>
        <v>2022</v>
      </c>
      <c r="AD53" s="1" t="s">
        <v>52</v>
      </c>
      <c r="AE53" s="1">
        <f t="shared" si="21"/>
        <v>0</v>
      </c>
      <c r="AI53" s="1">
        <f t="shared" si="1"/>
        <v>2022</v>
      </c>
      <c r="BB53" s="17"/>
    </row>
    <row r="54" s="1" customFormat="1" hidden="1" spans="2:54">
      <c r="B54" t="s">
        <v>204</v>
      </c>
      <c r="C54" t="s">
        <v>205</v>
      </c>
      <c r="D54"/>
      <c r="E54" t="s">
        <v>200</v>
      </c>
      <c r="I54" s="14"/>
      <c r="J54" s="15" t="s">
        <v>52</v>
      </c>
      <c r="K54" s="14"/>
      <c r="L54" s="17">
        <v>57000</v>
      </c>
      <c r="M54" s="1">
        <v>2</v>
      </c>
      <c r="N54" s="1">
        <v>7541</v>
      </c>
      <c r="O54" s="1">
        <v>37</v>
      </c>
      <c r="P54" s="1" t="s">
        <v>52</v>
      </c>
      <c r="Q54" s="1">
        <v>269.48</v>
      </c>
      <c r="R54" s="1">
        <v>0.189753</v>
      </c>
      <c r="S54" s="1" t="s">
        <v>52</v>
      </c>
      <c r="T54" s="1" t="s">
        <v>201</v>
      </c>
      <c r="U54" s="24"/>
      <c r="AC54" s="1">
        <f t="shared" si="22"/>
        <v>2022</v>
      </c>
      <c r="AD54" s="1" t="s">
        <v>52</v>
      </c>
      <c r="AE54" s="1">
        <f t="shared" si="21"/>
        <v>0</v>
      </c>
      <c r="AI54" s="1">
        <f t="shared" si="1"/>
        <v>2022</v>
      </c>
      <c r="BB54" s="17"/>
    </row>
    <row r="55" s="1" customFormat="1" hidden="1" spans="2:54">
      <c r="B55" t="s">
        <v>206</v>
      </c>
      <c r="C55" t="s">
        <v>207</v>
      </c>
      <c r="D55"/>
      <c r="E55" t="s">
        <v>200</v>
      </c>
      <c r="I55" s="14"/>
      <c r="J55" s="15" t="s">
        <v>52</v>
      </c>
      <c r="K55" s="14"/>
      <c r="L55" s="17">
        <v>57000</v>
      </c>
      <c r="M55" s="1">
        <v>2</v>
      </c>
      <c r="N55" s="1">
        <v>7541</v>
      </c>
      <c r="O55" s="1">
        <v>37</v>
      </c>
      <c r="P55" s="1" t="s">
        <v>52</v>
      </c>
      <c r="Q55" s="1">
        <v>269.48</v>
      </c>
      <c r="R55" s="1">
        <v>0.189753</v>
      </c>
      <c r="S55" s="1" t="s">
        <v>52</v>
      </c>
      <c r="T55" s="1" t="s">
        <v>201</v>
      </c>
      <c r="U55" s="24"/>
      <c r="AC55" s="1">
        <f t="shared" si="22"/>
        <v>2022</v>
      </c>
      <c r="AD55" s="1" t="s">
        <v>52</v>
      </c>
      <c r="AE55" s="1">
        <f t="shared" si="21"/>
        <v>0</v>
      </c>
      <c r="AI55" s="1">
        <f t="shared" si="1"/>
        <v>2022</v>
      </c>
      <c r="BB55" s="17"/>
    </row>
    <row r="56" s="1" customFormat="1" hidden="1" spans="2:54">
      <c r="B56" t="s">
        <v>208</v>
      </c>
      <c r="C56" t="s">
        <v>209</v>
      </c>
      <c r="D56"/>
      <c r="E56" t="s">
        <v>210</v>
      </c>
      <c r="I56" s="14"/>
      <c r="J56" s="15" t="s">
        <v>52</v>
      </c>
      <c r="K56" s="14"/>
      <c r="L56" s="17">
        <v>57000</v>
      </c>
      <c r="M56" s="1">
        <v>2</v>
      </c>
      <c r="N56" s="1">
        <v>7541</v>
      </c>
      <c r="O56" s="1">
        <v>37</v>
      </c>
      <c r="P56" s="1" t="s">
        <v>52</v>
      </c>
      <c r="Q56" s="1">
        <v>269.48</v>
      </c>
      <c r="R56" s="1">
        <v>0.189753</v>
      </c>
      <c r="S56" s="1" t="s">
        <v>52</v>
      </c>
      <c r="T56" s="1" t="s">
        <v>211</v>
      </c>
      <c r="U56" s="24"/>
      <c r="Y56" s="26"/>
      <c r="Z56" s="19">
        <v>200</v>
      </c>
      <c r="AC56" s="1">
        <f t="shared" si="22"/>
        <v>2022</v>
      </c>
      <c r="AD56" s="1" t="s">
        <v>52</v>
      </c>
      <c r="AE56" s="1">
        <f t="shared" si="21"/>
        <v>0</v>
      </c>
      <c r="AI56" s="1">
        <f t="shared" si="1"/>
        <v>2022</v>
      </c>
      <c r="BB56" s="17"/>
    </row>
    <row r="57" s="1" customFormat="1" hidden="1" spans="2:35">
      <c r="B57" s="9" t="s">
        <v>212</v>
      </c>
      <c r="C57" s="9" t="s">
        <v>212</v>
      </c>
      <c r="D57" s="3"/>
      <c r="E57" s="3" t="s">
        <v>213</v>
      </c>
      <c r="G57" s="11">
        <v>0.007</v>
      </c>
      <c r="I57" s="14"/>
      <c r="J57" s="15" t="s">
        <v>52</v>
      </c>
      <c r="K57" s="14"/>
      <c r="L57" s="17">
        <v>1547000</v>
      </c>
      <c r="M57" s="1">
        <v>2</v>
      </c>
      <c r="N57" s="1">
        <v>7541</v>
      </c>
      <c r="O57" s="1">
        <v>37</v>
      </c>
      <c r="P57" s="1" t="s">
        <v>52</v>
      </c>
      <c r="Q57" s="1">
        <v>269.48</v>
      </c>
      <c r="R57" s="1">
        <v>0.189753</v>
      </c>
      <c r="U57" s="24"/>
      <c r="AC57" s="1">
        <f t="shared" si="22"/>
        <v>2022</v>
      </c>
      <c r="AD57" s="1" t="s">
        <v>52</v>
      </c>
      <c r="AE57" s="1">
        <f t="shared" si="21"/>
        <v>0</v>
      </c>
      <c r="AI57" s="1">
        <f t="shared" si="1"/>
        <v>2022</v>
      </c>
    </row>
    <row r="58" s="1" customFormat="1" hidden="1" spans="2:35">
      <c r="B58" t="s">
        <v>214</v>
      </c>
      <c r="C58" t="s">
        <v>215</v>
      </c>
      <c r="D58" s="10"/>
      <c r="E58" s="10" t="s">
        <v>216</v>
      </c>
      <c r="I58" s="14"/>
      <c r="J58" s="15" t="s">
        <v>52</v>
      </c>
      <c r="K58" s="14"/>
      <c r="L58" s="17">
        <v>57000</v>
      </c>
      <c r="M58" s="1">
        <v>2</v>
      </c>
      <c r="N58" s="1">
        <v>7541</v>
      </c>
      <c r="O58" s="1">
        <v>37</v>
      </c>
      <c r="P58" s="1" t="s">
        <v>52</v>
      </c>
      <c r="Q58" s="1">
        <v>269.48</v>
      </c>
      <c r="R58" s="1">
        <v>0.189753</v>
      </c>
      <c r="S58" s="1" t="s">
        <v>52</v>
      </c>
      <c r="T58" s="1" t="s">
        <v>217</v>
      </c>
      <c r="U58" s="24"/>
      <c r="Y58" s="26"/>
      <c r="Z58" s="19">
        <v>421</v>
      </c>
      <c r="AA58" s="19">
        <v>7500</v>
      </c>
      <c r="AB58" s="27">
        <v>1984</v>
      </c>
      <c r="AC58" s="1">
        <f t="shared" si="22"/>
        <v>38</v>
      </c>
      <c r="AD58" s="1" t="s">
        <v>52</v>
      </c>
      <c r="AE58" s="1">
        <f t="shared" si="21"/>
        <v>0</v>
      </c>
      <c r="AI58" s="1">
        <f t="shared" si="1"/>
        <v>2022</v>
      </c>
    </row>
    <row r="59" s="1" customFormat="1" hidden="1" spans="2:35">
      <c r="B59" t="s">
        <v>218</v>
      </c>
      <c r="C59" t="s">
        <v>219</v>
      </c>
      <c r="D59" s="10"/>
      <c r="E59" s="10" t="s">
        <v>216</v>
      </c>
      <c r="I59" s="14"/>
      <c r="J59" s="15" t="s">
        <v>52</v>
      </c>
      <c r="K59" s="14"/>
      <c r="L59" s="17">
        <v>57000</v>
      </c>
      <c r="M59" s="1">
        <v>2</v>
      </c>
      <c r="N59" s="1">
        <v>7541</v>
      </c>
      <c r="O59" s="1">
        <v>37</v>
      </c>
      <c r="P59" s="1" t="s">
        <v>52</v>
      </c>
      <c r="Q59" s="1">
        <v>269.48</v>
      </c>
      <c r="R59" s="1">
        <v>0.189753</v>
      </c>
      <c r="S59" s="1" t="s">
        <v>52</v>
      </c>
      <c r="T59" s="1" t="s">
        <v>217</v>
      </c>
      <c r="U59" s="24"/>
      <c r="Y59" s="26"/>
      <c r="Z59" s="19">
        <v>421</v>
      </c>
      <c r="AA59" s="19">
        <v>7500</v>
      </c>
      <c r="AB59" s="27">
        <v>1984</v>
      </c>
      <c r="AC59" s="1">
        <f t="shared" si="22"/>
        <v>38</v>
      </c>
      <c r="AD59" s="1" t="s">
        <v>52</v>
      </c>
      <c r="AE59" s="1">
        <f t="shared" si="21"/>
        <v>0</v>
      </c>
      <c r="AI59" s="1">
        <f t="shared" si="1"/>
        <v>2022</v>
      </c>
    </row>
    <row r="60" s="1" customFormat="1" hidden="1" spans="2:35">
      <c r="B60" t="s">
        <v>220</v>
      </c>
      <c r="C60" t="s">
        <v>221</v>
      </c>
      <c r="D60" s="10"/>
      <c r="E60" s="10" t="s">
        <v>216</v>
      </c>
      <c r="I60" s="14"/>
      <c r="J60" s="15" t="s">
        <v>52</v>
      </c>
      <c r="K60" s="14"/>
      <c r="L60" s="17">
        <v>57000</v>
      </c>
      <c r="M60" s="1">
        <v>2</v>
      </c>
      <c r="N60" s="1">
        <v>7541</v>
      </c>
      <c r="O60" s="1">
        <v>37</v>
      </c>
      <c r="P60" s="1" t="s">
        <v>52</v>
      </c>
      <c r="Q60" s="1">
        <v>269.48</v>
      </c>
      <c r="R60" s="1">
        <v>0.189753</v>
      </c>
      <c r="S60" s="1" t="s">
        <v>52</v>
      </c>
      <c r="T60" s="1" t="s">
        <v>217</v>
      </c>
      <c r="U60" s="24"/>
      <c r="Y60" s="26"/>
      <c r="Z60" s="19">
        <v>421</v>
      </c>
      <c r="AA60" s="19">
        <v>7500</v>
      </c>
      <c r="AB60" s="27">
        <v>1984</v>
      </c>
      <c r="AC60" s="1">
        <f t="shared" si="22"/>
        <v>38</v>
      </c>
      <c r="AD60" s="1" t="s">
        <v>52</v>
      </c>
      <c r="AE60" s="1">
        <f t="shared" si="21"/>
        <v>0</v>
      </c>
      <c r="AI60" s="1">
        <f t="shared" si="1"/>
        <v>2022</v>
      </c>
    </row>
    <row r="61" s="1" customFormat="1" hidden="1" spans="2:35">
      <c r="B61" t="s">
        <v>222</v>
      </c>
      <c r="C61" t="s">
        <v>223</v>
      </c>
      <c r="D61"/>
      <c r="E61" t="s">
        <v>224</v>
      </c>
      <c r="I61" s="14"/>
      <c r="J61" s="15" t="s">
        <v>52</v>
      </c>
      <c r="K61" s="14"/>
      <c r="L61" s="17">
        <v>57000</v>
      </c>
      <c r="M61" s="1">
        <v>2</v>
      </c>
      <c r="N61" s="1">
        <v>7541</v>
      </c>
      <c r="O61" s="1">
        <v>37</v>
      </c>
      <c r="P61" s="1" t="s">
        <v>52</v>
      </c>
      <c r="Q61" s="1">
        <v>269.48</v>
      </c>
      <c r="R61" s="1">
        <v>0.189753</v>
      </c>
      <c r="S61" s="1" t="s">
        <v>52</v>
      </c>
      <c r="T61" s="1" t="s">
        <v>225</v>
      </c>
      <c r="U61" s="24"/>
      <c r="AC61" s="1">
        <f t="shared" si="22"/>
        <v>2022</v>
      </c>
      <c r="AD61" s="1" t="s">
        <v>52</v>
      </c>
      <c r="AE61" s="1">
        <f t="shared" si="21"/>
        <v>0</v>
      </c>
      <c r="AI61" s="1">
        <f t="shared" si="1"/>
        <v>2022</v>
      </c>
    </row>
    <row r="62" s="1" customFormat="1" hidden="1" spans="2:35">
      <c r="B62" t="s">
        <v>226</v>
      </c>
      <c r="C62" t="s">
        <v>227</v>
      </c>
      <c r="E62" s="1" t="s">
        <v>228</v>
      </c>
      <c r="I62" s="14"/>
      <c r="J62" s="15" t="s">
        <v>52</v>
      </c>
      <c r="K62" s="14"/>
      <c r="L62" s="17">
        <v>57000</v>
      </c>
      <c r="M62" s="1">
        <v>2</v>
      </c>
      <c r="N62" s="1">
        <v>7541</v>
      </c>
      <c r="O62" s="1">
        <v>37</v>
      </c>
      <c r="P62" s="1" t="s">
        <v>52</v>
      </c>
      <c r="Q62" s="1">
        <v>269.48</v>
      </c>
      <c r="R62" s="1">
        <v>0.189753</v>
      </c>
      <c r="S62" s="1" t="s">
        <v>52</v>
      </c>
      <c r="T62" s="1" t="s">
        <v>229</v>
      </c>
      <c r="U62" s="24"/>
      <c r="Y62" s="26"/>
      <c r="Z62" s="19">
        <v>2629</v>
      </c>
      <c r="AA62" s="19">
        <v>2365</v>
      </c>
      <c r="AC62" s="1">
        <f t="shared" si="22"/>
        <v>2022</v>
      </c>
      <c r="AD62" s="1" t="s">
        <v>52</v>
      </c>
      <c r="AE62" s="1">
        <f t="shared" si="21"/>
        <v>0</v>
      </c>
      <c r="AI62" s="1">
        <f t="shared" si="1"/>
        <v>2022</v>
      </c>
    </row>
    <row r="63" s="1" customFormat="1" hidden="1" spans="2:35">
      <c r="B63" t="s">
        <v>230</v>
      </c>
      <c r="C63" t="s">
        <v>231</v>
      </c>
      <c r="E63" s="1" t="s">
        <v>228</v>
      </c>
      <c r="I63" s="14"/>
      <c r="J63" s="15" t="s">
        <v>52</v>
      </c>
      <c r="K63" s="14"/>
      <c r="L63" s="17">
        <v>57000</v>
      </c>
      <c r="M63" s="1">
        <v>2</v>
      </c>
      <c r="N63" s="1">
        <v>7541</v>
      </c>
      <c r="O63" s="1">
        <v>37</v>
      </c>
      <c r="P63" s="1" t="s">
        <v>52</v>
      </c>
      <c r="Q63" s="1">
        <v>269.48</v>
      </c>
      <c r="R63" s="1">
        <v>0.189753</v>
      </c>
      <c r="S63" s="1" t="s">
        <v>52</v>
      </c>
      <c r="T63" s="1" t="s">
        <v>229</v>
      </c>
      <c r="U63" s="24"/>
      <c r="Y63" s="26"/>
      <c r="Z63" s="19">
        <v>2629</v>
      </c>
      <c r="AA63" s="19">
        <v>2365</v>
      </c>
      <c r="AC63" s="1">
        <f t="shared" si="22"/>
        <v>2022</v>
      </c>
      <c r="AD63" s="1" t="s">
        <v>52</v>
      </c>
      <c r="AE63" s="1">
        <f t="shared" si="21"/>
        <v>0</v>
      </c>
      <c r="AI63" s="1">
        <f t="shared" si="1"/>
        <v>2022</v>
      </c>
    </row>
    <row r="64" s="1" customFormat="1" hidden="1" spans="2:49">
      <c r="B64" t="s">
        <v>232</v>
      </c>
      <c r="C64" t="s">
        <v>233</v>
      </c>
      <c r="E64" s="1" t="s">
        <v>228</v>
      </c>
      <c r="I64" s="14"/>
      <c r="J64" s="15" t="s">
        <v>52</v>
      </c>
      <c r="K64" s="14"/>
      <c r="L64" s="17">
        <v>57000</v>
      </c>
      <c r="M64" s="1">
        <v>2</v>
      </c>
      <c r="N64" s="1">
        <v>7541</v>
      </c>
      <c r="O64" s="1">
        <v>37</v>
      </c>
      <c r="P64" s="1" t="s">
        <v>52</v>
      </c>
      <c r="Q64" s="1">
        <v>269.48</v>
      </c>
      <c r="R64" s="1">
        <v>0.189753</v>
      </c>
      <c r="S64" s="1" t="s">
        <v>52</v>
      </c>
      <c r="T64" s="1" t="s">
        <v>229</v>
      </c>
      <c r="U64" s="24"/>
      <c r="Y64" s="26"/>
      <c r="Z64" s="19">
        <v>2629</v>
      </c>
      <c r="AA64" s="19">
        <v>2365</v>
      </c>
      <c r="AC64" s="1">
        <f t="shared" si="22"/>
        <v>2022</v>
      </c>
      <c r="AD64" s="1" t="s">
        <v>52</v>
      </c>
      <c r="AE64" s="1">
        <f t="shared" si="21"/>
        <v>0</v>
      </c>
      <c r="AI64" s="1">
        <f t="shared" si="1"/>
        <v>2022</v>
      </c>
      <c r="AW64" s="1">
        <v>30.5</v>
      </c>
    </row>
    <row r="65" s="1" customFormat="1" hidden="1" spans="2:35">
      <c r="B65" t="s">
        <v>234</v>
      </c>
      <c r="C65" t="s">
        <v>235</v>
      </c>
      <c r="D65"/>
      <c r="E65" t="s">
        <v>236</v>
      </c>
      <c r="I65" s="14"/>
      <c r="J65" s="15" t="s">
        <v>52</v>
      </c>
      <c r="K65" s="14"/>
      <c r="L65" s="17">
        <v>57000</v>
      </c>
      <c r="M65" s="1">
        <v>2</v>
      </c>
      <c r="N65" s="1">
        <v>7541</v>
      </c>
      <c r="O65" s="1">
        <v>37</v>
      </c>
      <c r="P65" s="1" t="s">
        <v>52</v>
      </c>
      <c r="Q65" s="1">
        <v>269.48</v>
      </c>
      <c r="R65" s="1">
        <v>0.189753</v>
      </c>
      <c r="S65" s="1" t="s">
        <v>52</v>
      </c>
      <c r="T65" s="1" t="s">
        <v>237</v>
      </c>
      <c r="U65" s="24"/>
      <c r="Y65" s="26"/>
      <c r="Z65" s="19"/>
      <c r="AC65" s="1">
        <f t="shared" si="22"/>
        <v>2022</v>
      </c>
      <c r="AD65" s="1" t="s">
        <v>52</v>
      </c>
      <c r="AE65" s="1">
        <f t="shared" si="21"/>
        <v>0</v>
      </c>
      <c r="AI65" s="1">
        <f t="shared" si="1"/>
        <v>2022</v>
      </c>
    </row>
    <row r="66" s="1" customFormat="1" hidden="1" spans="2:40">
      <c r="B66" s="3" t="s">
        <v>238</v>
      </c>
      <c r="C66" s="3" t="s">
        <v>238</v>
      </c>
      <c r="D66" s="3"/>
      <c r="E66" s="3" t="s">
        <v>238</v>
      </c>
      <c r="G66" s="11">
        <v>0.014</v>
      </c>
      <c r="I66" s="14"/>
      <c r="J66" s="15" t="s">
        <v>52</v>
      </c>
      <c r="K66" s="14"/>
      <c r="L66" s="17">
        <v>1547000</v>
      </c>
      <c r="M66" s="1">
        <v>2</v>
      </c>
      <c r="N66" s="1">
        <v>7541</v>
      </c>
      <c r="O66" s="1">
        <v>37</v>
      </c>
      <c r="P66" s="1" t="s">
        <v>52</v>
      </c>
      <c r="Q66" s="1">
        <v>269.48</v>
      </c>
      <c r="R66" s="1">
        <v>0.189753</v>
      </c>
      <c r="S66" s="1" t="s">
        <v>52</v>
      </c>
      <c r="T66" s="1">
        <v>19100</v>
      </c>
      <c r="U66" s="24"/>
      <c r="Z66" s="1">
        <v>4801</v>
      </c>
      <c r="AA66" s="17">
        <v>107375</v>
      </c>
      <c r="AC66" s="1">
        <f t="shared" si="22"/>
        <v>2022</v>
      </c>
      <c r="AD66" s="1" t="s">
        <v>52</v>
      </c>
      <c r="AE66" s="1">
        <f t="shared" si="21"/>
        <v>0</v>
      </c>
      <c r="AF66" s="17"/>
      <c r="AG66" s="17">
        <v>4429</v>
      </c>
      <c r="AH66" s="17"/>
      <c r="AI66" s="1">
        <f t="shared" si="1"/>
        <v>2022</v>
      </c>
      <c r="AN66" s="1">
        <v>126</v>
      </c>
    </row>
    <row r="67" s="1" customFormat="1" hidden="1" spans="2:49">
      <c r="B67" t="s">
        <v>239</v>
      </c>
      <c r="C67" t="s">
        <v>240</v>
      </c>
      <c r="D67" s="10"/>
      <c r="E67" s="10" t="s">
        <v>241</v>
      </c>
      <c r="I67" s="14"/>
      <c r="J67" s="15" t="s">
        <v>52</v>
      </c>
      <c r="K67" s="14"/>
      <c r="L67" s="17">
        <v>57000</v>
      </c>
      <c r="M67" s="1">
        <v>2</v>
      </c>
      <c r="N67" s="1">
        <v>7541</v>
      </c>
      <c r="O67" s="1">
        <v>37</v>
      </c>
      <c r="P67" s="1" t="s">
        <v>52</v>
      </c>
      <c r="Q67" s="1">
        <v>269.48</v>
      </c>
      <c r="R67" s="1">
        <v>0.189753</v>
      </c>
      <c r="S67" s="1" t="s">
        <v>82</v>
      </c>
      <c r="T67" s="33">
        <v>8982</v>
      </c>
      <c r="U67" s="24"/>
      <c r="Z67" s="1">
        <v>306</v>
      </c>
      <c r="AA67" s="17">
        <v>17595</v>
      </c>
      <c r="AB67" s="1">
        <v>1938</v>
      </c>
      <c r="AC67" s="1">
        <f t="shared" si="22"/>
        <v>84</v>
      </c>
      <c r="AD67" s="1" t="s">
        <v>52</v>
      </c>
      <c r="AE67" s="1">
        <f t="shared" si="21"/>
        <v>0</v>
      </c>
      <c r="AG67" s="1">
        <v>306</v>
      </c>
      <c r="AH67" s="1">
        <v>1938</v>
      </c>
      <c r="AI67" s="1">
        <f t="shared" ref="AI67:AI130" si="23">2022-AH67</f>
        <v>84</v>
      </c>
      <c r="AL67" s="1">
        <v>8</v>
      </c>
      <c r="AM67" s="1">
        <v>9</v>
      </c>
      <c r="AS67" s="1">
        <v>1</v>
      </c>
      <c r="AW67" s="1">
        <v>14.5</v>
      </c>
    </row>
    <row r="68" s="1" customFormat="1" hidden="1" spans="2:35">
      <c r="B68" t="s">
        <v>242</v>
      </c>
      <c r="C68" t="s">
        <v>242</v>
      </c>
      <c r="D68" s="10"/>
      <c r="E68" s="10" t="s">
        <v>243</v>
      </c>
      <c r="I68" s="14"/>
      <c r="J68" s="15" t="s">
        <v>52</v>
      </c>
      <c r="K68" s="14"/>
      <c r="L68" s="17">
        <v>57000</v>
      </c>
      <c r="M68" s="1">
        <v>2</v>
      </c>
      <c r="N68" s="1">
        <v>7541</v>
      </c>
      <c r="O68" s="1">
        <v>37</v>
      </c>
      <c r="P68" s="1" t="s">
        <v>52</v>
      </c>
      <c r="Q68" s="1">
        <v>269.48</v>
      </c>
      <c r="R68" s="1">
        <v>0.189753</v>
      </c>
      <c r="S68" s="1" t="s">
        <v>52</v>
      </c>
      <c r="T68" s="1" t="s">
        <v>244</v>
      </c>
      <c r="U68" s="24"/>
      <c r="V68" s="12">
        <v>0.06</v>
      </c>
      <c r="Y68" s="26"/>
      <c r="Z68" s="19">
        <v>1157</v>
      </c>
      <c r="AA68" s="19">
        <v>13800</v>
      </c>
      <c r="AB68" s="27">
        <v>1923</v>
      </c>
      <c r="AC68" s="1">
        <f t="shared" si="22"/>
        <v>99</v>
      </c>
      <c r="AD68" s="1" t="s">
        <v>52</v>
      </c>
      <c r="AE68" s="1">
        <f t="shared" si="21"/>
        <v>0</v>
      </c>
      <c r="AI68" s="1">
        <f t="shared" si="23"/>
        <v>2022</v>
      </c>
    </row>
    <row r="69" s="1" customFormat="1" hidden="1" spans="2:35">
      <c r="B69" t="s">
        <v>245</v>
      </c>
      <c r="C69" t="s">
        <v>245</v>
      </c>
      <c r="D69" s="10"/>
      <c r="E69" s="10" t="s">
        <v>243</v>
      </c>
      <c r="I69" s="14"/>
      <c r="J69" s="15" t="s">
        <v>52</v>
      </c>
      <c r="K69" s="14"/>
      <c r="L69" s="17">
        <v>57000</v>
      </c>
      <c r="M69" s="1">
        <v>2</v>
      </c>
      <c r="N69" s="1">
        <v>7541</v>
      </c>
      <c r="O69" s="1">
        <v>37</v>
      </c>
      <c r="P69" s="1" t="s">
        <v>52</v>
      </c>
      <c r="Q69" s="1">
        <v>269.48</v>
      </c>
      <c r="R69" s="1">
        <v>0.189753</v>
      </c>
      <c r="S69" s="1" t="s">
        <v>52</v>
      </c>
      <c r="T69" s="1" t="s">
        <v>244</v>
      </c>
      <c r="U69" s="24"/>
      <c r="V69" s="12">
        <v>0.06</v>
      </c>
      <c r="Y69" s="26"/>
      <c r="Z69" s="19">
        <v>1157</v>
      </c>
      <c r="AA69" s="19">
        <v>13800</v>
      </c>
      <c r="AB69" s="27">
        <v>1923</v>
      </c>
      <c r="AC69" s="1">
        <f t="shared" si="22"/>
        <v>99</v>
      </c>
      <c r="AD69" s="1" t="s">
        <v>52</v>
      </c>
      <c r="AE69" s="1">
        <f t="shared" si="21"/>
        <v>0</v>
      </c>
      <c r="AI69" s="1">
        <f t="shared" si="23"/>
        <v>2022</v>
      </c>
    </row>
    <row r="70" s="1" customFormat="1" hidden="1" spans="2:35">
      <c r="B70" t="s">
        <v>246</v>
      </c>
      <c r="C70" t="s">
        <v>247</v>
      </c>
      <c r="D70" s="10"/>
      <c r="E70" s="10" t="s">
        <v>248</v>
      </c>
      <c r="I70" s="14"/>
      <c r="J70" s="15" t="s">
        <v>52</v>
      </c>
      <c r="K70" s="14"/>
      <c r="L70" s="17">
        <v>57000</v>
      </c>
      <c r="M70" s="1">
        <v>2</v>
      </c>
      <c r="N70" s="1">
        <v>7541</v>
      </c>
      <c r="O70" s="1">
        <v>37</v>
      </c>
      <c r="P70" s="1" t="s">
        <v>52</v>
      </c>
      <c r="Q70" s="1">
        <v>269.48</v>
      </c>
      <c r="R70" s="1">
        <v>0.189753</v>
      </c>
      <c r="U70" s="24"/>
      <c r="AA70" s="19">
        <v>290</v>
      </c>
      <c r="AC70" s="1">
        <f t="shared" si="22"/>
        <v>2022</v>
      </c>
      <c r="AE70" s="1">
        <f t="shared" si="21"/>
        <v>0</v>
      </c>
      <c r="AI70" s="1">
        <f t="shared" si="23"/>
        <v>2022</v>
      </c>
    </row>
    <row r="71" s="1" customFormat="1" hidden="1" spans="2:35">
      <c r="B71" t="s">
        <v>249</v>
      </c>
      <c r="C71" t="s">
        <v>250</v>
      </c>
      <c r="D71" s="10"/>
      <c r="E71" s="10" t="s">
        <v>248</v>
      </c>
      <c r="I71" s="14"/>
      <c r="J71" s="15" t="s">
        <v>52</v>
      </c>
      <c r="K71" s="14"/>
      <c r="L71" s="17">
        <v>57000</v>
      </c>
      <c r="M71" s="1">
        <v>2</v>
      </c>
      <c r="N71" s="1">
        <v>7541</v>
      </c>
      <c r="O71" s="1">
        <v>37</v>
      </c>
      <c r="P71" s="1" t="s">
        <v>52</v>
      </c>
      <c r="Q71" s="1">
        <v>269.48</v>
      </c>
      <c r="R71" s="1">
        <v>0.189753</v>
      </c>
      <c r="U71" s="24"/>
      <c r="AA71" s="19">
        <v>290</v>
      </c>
      <c r="AC71" s="1">
        <f t="shared" si="22"/>
        <v>2022</v>
      </c>
      <c r="AE71" s="1">
        <f t="shared" si="21"/>
        <v>0</v>
      </c>
      <c r="AI71" s="1">
        <f t="shared" si="23"/>
        <v>2022</v>
      </c>
    </row>
    <row r="72" s="1" customFormat="1" hidden="1" spans="2:35">
      <c r="B72" t="s">
        <v>251</v>
      </c>
      <c r="C72" t="s">
        <v>252</v>
      </c>
      <c r="D72"/>
      <c r="E72" t="s">
        <v>253</v>
      </c>
      <c r="I72" s="14"/>
      <c r="J72" s="15" t="s">
        <v>52</v>
      </c>
      <c r="K72" s="14"/>
      <c r="L72" s="17">
        <v>57000</v>
      </c>
      <c r="M72" s="1">
        <v>2</v>
      </c>
      <c r="N72" s="1">
        <v>7541</v>
      </c>
      <c r="O72" s="1">
        <v>37</v>
      </c>
      <c r="P72" s="1" t="s">
        <v>52</v>
      </c>
      <c r="Q72" s="1">
        <v>269.48</v>
      </c>
      <c r="R72" s="1">
        <v>0.189753</v>
      </c>
      <c r="S72" s="1" t="s">
        <v>52</v>
      </c>
      <c r="T72" s="1" t="s">
        <v>254</v>
      </c>
      <c r="U72" s="24"/>
      <c r="AA72" s="19">
        <v>985</v>
      </c>
      <c r="AC72" s="1">
        <f t="shared" si="22"/>
        <v>2022</v>
      </c>
      <c r="AD72" s="15" t="s">
        <v>154</v>
      </c>
      <c r="AE72" s="1">
        <f t="shared" si="21"/>
        <v>0</v>
      </c>
      <c r="AI72" s="1">
        <f t="shared" si="23"/>
        <v>2022</v>
      </c>
    </row>
    <row r="73" s="1" customFormat="1" hidden="1" spans="2:35">
      <c r="B73" t="s">
        <v>255</v>
      </c>
      <c r="C73" t="s">
        <v>256</v>
      </c>
      <c r="D73"/>
      <c r="E73" t="s">
        <v>257</v>
      </c>
      <c r="I73" s="14"/>
      <c r="J73" s="15" t="s">
        <v>52</v>
      </c>
      <c r="K73" s="14"/>
      <c r="L73" s="17">
        <v>57000</v>
      </c>
      <c r="M73" s="1">
        <v>2</v>
      </c>
      <c r="N73" s="1">
        <v>7541</v>
      </c>
      <c r="O73" s="1">
        <v>37</v>
      </c>
      <c r="P73" s="1" t="s">
        <v>52</v>
      </c>
      <c r="Q73" s="1">
        <v>269.48</v>
      </c>
      <c r="R73" s="1">
        <v>0.189753</v>
      </c>
      <c r="S73" s="1" t="s">
        <v>52</v>
      </c>
      <c r="T73" s="1" t="s">
        <v>258</v>
      </c>
      <c r="U73" s="24"/>
      <c r="AC73" s="1">
        <f t="shared" si="22"/>
        <v>2022</v>
      </c>
      <c r="AD73" s="1" t="s">
        <v>52</v>
      </c>
      <c r="AE73" s="1">
        <f t="shared" si="21"/>
        <v>0</v>
      </c>
      <c r="AI73" s="1">
        <f t="shared" si="23"/>
        <v>2022</v>
      </c>
    </row>
    <row r="74" s="1" customFormat="1" hidden="1" spans="2:35">
      <c r="B74" t="s">
        <v>259</v>
      </c>
      <c r="C74" t="s">
        <v>260</v>
      </c>
      <c r="D74"/>
      <c r="E74" t="s">
        <v>257</v>
      </c>
      <c r="I74" s="14"/>
      <c r="J74" s="15" t="s">
        <v>52</v>
      </c>
      <c r="K74" s="14"/>
      <c r="L74" s="17">
        <v>57000</v>
      </c>
      <c r="M74" s="1">
        <v>2</v>
      </c>
      <c r="N74" s="1">
        <v>7541</v>
      </c>
      <c r="O74" s="1">
        <v>37</v>
      </c>
      <c r="P74" s="1" t="s">
        <v>52</v>
      </c>
      <c r="Q74" s="1">
        <v>269.48</v>
      </c>
      <c r="R74" s="1">
        <v>0.189753</v>
      </c>
      <c r="S74" s="1" t="s">
        <v>52</v>
      </c>
      <c r="T74" s="1" t="s">
        <v>258</v>
      </c>
      <c r="U74" s="24"/>
      <c r="AC74" s="1">
        <f t="shared" si="22"/>
        <v>2022</v>
      </c>
      <c r="AD74" s="1" t="s">
        <v>52</v>
      </c>
      <c r="AE74" s="1">
        <f t="shared" si="21"/>
        <v>0</v>
      </c>
      <c r="AI74" s="1">
        <f t="shared" si="23"/>
        <v>2022</v>
      </c>
    </row>
    <row r="75" s="1" customFormat="1" hidden="1" spans="2:35">
      <c r="B75" t="s">
        <v>261</v>
      </c>
      <c r="C75" t="s">
        <v>261</v>
      </c>
      <c r="D75"/>
      <c r="E75" t="s">
        <v>262</v>
      </c>
      <c r="I75" s="14"/>
      <c r="J75" s="15" t="s">
        <v>52</v>
      </c>
      <c r="K75" s="14"/>
      <c r="L75" s="17">
        <v>57000</v>
      </c>
      <c r="M75" s="1">
        <v>2</v>
      </c>
      <c r="N75" s="1">
        <v>7541</v>
      </c>
      <c r="O75" s="1">
        <v>37</v>
      </c>
      <c r="P75" s="1" t="s">
        <v>52</v>
      </c>
      <c r="Q75" s="1">
        <v>269.48</v>
      </c>
      <c r="R75" s="1">
        <v>0.189753</v>
      </c>
      <c r="S75" s="1" t="s">
        <v>52</v>
      </c>
      <c r="T75" s="1" t="s">
        <v>263</v>
      </c>
      <c r="U75" s="24"/>
      <c r="AC75" s="1">
        <f t="shared" si="22"/>
        <v>2022</v>
      </c>
      <c r="AD75" s="1" t="s">
        <v>52</v>
      </c>
      <c r="AE75" s="1">
        <f t="shared" si="21"/>
        <v>0</v>
      </c>
      <c r="AI75" s="1">
        <f t="shared" si="23"/>
        <v>2022</v>
      </c>
    </row>
    <row r="76" s="1" customFormat="1" hidden="1" spans="2:35">
      <c r="B76" s="9" t="s">
        <v>264</v>
      </c>
      <c r="C76" s="9" t="s">
        <v>264</v>
      </c>
      <c r="D76" s="3"/>
      <c r="E76" s="3" t="s">
        <v>265</v>
      </c>
      <c r="F76" s="12">
        <v>0.08</v>
      </c>
      <c r="I76" s="14"/>
      <c r="J76" s="15" t="s">
        <v>52</v>
      </c>
      <c r="K76" s="14"/>
      <c r="L76" s="17">
        <v>1547000</v>
      </c>
      <c r="M76" s="1">
        <v>2</v>
      </c>
      <c r="N76" s="1">
        <v>7541</v>
      </c>
      <c r="O76" s="1">
        <v>37</v>
      </c>
      <c r="P76" s="1" t="s">
        <v>52</v>
      </c>
      <c r="Q76" s="1">
        <v>269.48</v>
      </c>
      <c r="R76" s="1">
        <v>0.189753</v>
      </c>
      <c r="U76" s="24"/>
      <c r="AC76" s="1">
        <f t="shared" si="22"/>
        <v>2022</v>
      </c>
      <c r="AE76" s="1">
        <f t="shared" si="21"/>
        <v>746.3064</v>
      </c>
      <c r="AI76" s="1">
        <f t="shared" si="23"/>
        <v>2022</v>
      </c>
    </row>
    <row r="77" s="1" customFormat="1" hidden="1" spans="2:35">
      <c r="B77" s="9" t="s">
        <v>266</v>
      </c>
      <c r="C77" s="9" t="s">
        <v>266</v>
      </c>
      <c r="D77" s="3"/>
      <c r="E77" s="3" t="s">
        <v>265</v>
      </c>
      <c r="F77" s="12">
        <v>0.87</v>
      </c>
      <c r="G77" s="11">
        <v>0.005</v>
      </c>
      <c r="I77" s="14"/>
      <c r="J77" s="15" t="s">
        <v>52</v>
      </c>
      <c r="K77" s="14"/>
      <c r="L77" s="17">
        <v>1547000</v>
      </c>
      <c r="M77" s="1">
        <v>2</v>
      </c>
      <c r="N77" s="1">
        <v>7541</v>
      </c>
      <c r="O77" s="1">
        <v>37</v>
      </c>
      <c r="P77" s="1" t="s">
        <v>52</v>
      </c>
      <c r="Q77" s="1">
        <v>269.48</v>
      </c>
      <c r="R77" s="1">
        <v>0.189753</v>
      </c>
      <c r="U77" s="24"/>
      <c r="AC77" s="1">
        <f t="shared" si="22"/>
        <v>2022</v>
      </c>
      <c r="AE77" s="1">
        <f t="shared" si="21"/>
        <v>8116.0821</v>
      </c>
      <c r="AI77" s="1">
        <f t="shared" si="23"/>
        <v>2022</v>
      </c>
    </row>
    <row r="78" s="1" customFormat="1" hidden="1" spans="2:35">
      <c r="B78" t="s">
        <v>267</v>
      </c>
      <c r="C78" t="s">
        <v>268</v>
      </c>
      <c r="D78"/>
      <c r="E78" t="s">
        <v>269</v>
      </c>
      <c r="I78" s="14"/>
      <c r="J78" s="15" t="s">
        <v>52</v>
      </c>
      <c r="K78" s="14"/>
      <c r="L78" s="17">
        <v>57000</v>
      </c>
      <c r="M78" s="1">
        <v>2</v>
      </c>
      <c r="N78" s="1">
        <v>7541</v>
      </c>
      <c r="O78" s="1">
        <v>37</v>
      </c>
      <c r="P78" s="1" t="s">
        <v>52</v>
      </c>
      <c r="Q78" s="1">
        <v>269.48</v>
      </c>
      <c r="R78" s="1">
        <v>0.189753</v>
      </c>
      <c r="S78" s="1" t="s">
        <v>52</v>
      </c>
      <c r="T78" s="1" t="s">
        <v>270</v>
      </c>
      <c r="U78" s="24"/>
      <c r="Y78" s="26"/>
      <c r="Z78" s="19">
        <v>350</v>
      </c>
      <c r="AA78" s="19">
        <v>650</v>
      </c>
      <c r="AC78" s="1">
        <f t="shared" si="22"/>
        <v>2022</v>
      </c>
      <c r="AD78" s="1" t="s">
        <v>52</v>
      </c>
      <c r="AE78" s="1">
        <f t="shared" si="21"/>
        <v>0</v>
      </c>
      <c r="AF78" s="26"/>
      <c r="AG78" s="19">
        <v>350</v>
      </c>
      <c r="AH78" s="26"/>
      <c r="AI78" s="1">
        <f t="shared" si="23"/>
        <v>2022</v>
      </c>
    </row>
    <row r="79" s="1" customFormat="1" hidden="1" spans="2:35">
      <c r="B79" t="s">
        <v>271</v>
      </c>
      <c r="C79" t="s">
        <v>271</v>
      </c>
      <c r="D79"/>
      <c r="E79" t="s">
        <v>272</v>
      </c>
      <c r="I79" s="14"/>
      <c r="J79" s="15" t="s">
        <v>52</v>
      </c>
      <c r="K79" s="14"/>
      <c r="L79" s="17">
        <v>57000</v>
      </c>
      <c r="M79" s="1">
        <v>2</v>
      </c>
      <c r="N79" s="1">
        <v>7541</v>
      </c>
      <c r="O79" s="1">
        <v>37</v>
      </c>
      <c r="P79" s="1" t="s">
        <v>52</v>
      </c>
      <c r="Q79" s="1">
        <v>269.48</v>
      </c>
      <c r="R79" s="1">
        <v>0.189753</v>
      </c>
      <c r="S79" s="1" t="s">
        <v>52</v>
      </c>
      <c r="T79" s="1" t="s">
        <v>273</v>
      </c>
      <c r="U79" s="24"/>
      <c r="Y79" s="26"/>
      <c r="Z79" s="19">
        <v>2000</v>
      </c>
      <c r="AA79" s="19">
        <v>1132</v>
      </c>
      <c r="AC79" s="1">
        <f t="shared" si="22"/>
        <v>2022</v>
      </c>
      <c r="AD79" s="1" t="s">
        <v>52</v>
      </c>
      <c r="AE79" s="1">
        <f t="shared" si="21"/>
        <v>0</v>
      </c>
      <c r="AF79" s="26"/>
      <c r="AG79" s="19">
        <v>2000</v>
      </c>
      <c r="AH79" s="26"/>
      <c r="AI79" s="1">
        <f t="shared" si="23"/>
        <v>2022</v>
      </c>
    </row>
    <row r="80" s="1" customFormat="1" hidden="1" spans="2:35">
      <c r="B80" t="s">
        <v>274</v>
      </c>
      <c r="C80" t="s">
        <v>275</v>
      </c>
      <c r="D80"/>
      <c r="E80" t="s">
        <v>276</v>
      </c>
      <c r="I80" s="14"/>
      <c r="J80" s="15" t="s">
        <v>52</v>
      </c>
      <c r="K80" s="14"/>
      <c r="L80" s="17">
        <v>57000</v>
      </c>
      <c r="M80" s="1">
        <v>2</v>
      </c>
      <c r="N80" s="1">
        <v>7541</v>
      </c>
      <c r="O80" s="1">
        <v>37</v>
      </c>
      <c r="P80" s="1" t="s">
        <v>52</v>
      </c>
      <c r="Q80" s="1">
        <v>269.48</v>
      </c>
      <c r="R80" s="1">
        <v>0.189753</v>
      </c>
      <c r="S80" s="1" t="s">
        <v>52</v>
      </c>
      <c r="T80" s="1" t="s">
        <v>277</v>
      </c>
      <c r="U80" s="24"/>
      <c r="Y80" s="26"/>
      <c r="Z80" s="19">
        <v>2334</v>
      </c>
      <c r="AA80" s="19">
        <v>5000</v>
      </c>
      <c r="AC80" s="1">
        <f t="shared" si="22"/>
        <v>2022</v>
      </c>
      <c r="AD80" s="1" t="s">
        <v>52</v>
      </c>
      <c r="AE80" s="1">
        <f t="shared" si="21"/>
        <v>0</v>
      </c>
      <c r="AI80" s="1">
        <f t="shared" si="23"/>
        <v>2022</v>
      </c>
    </row>
    <row r="81" s="1" customFormat="1" hidden="1" spans="2:54">
      <c r="B81" t="s">
        <v>278</v>
      </c>
      <c r="C81" t="s">
        <v>279</v>
      </c>
      <c r="D81"/>
      <c r="E81" t="s">
        <v>276</v>
      </c>
      <c r="I81" s="14"/>
      <c r="J81" s="15" t="s">
        <v>52</v>
      </c>
      <c r="K81" s="14"/>
      <c r="L81" s="17">
        <v>57000</v>
      </c>
      <c r="M81" s="1">
        <v>2</v>
      </c>
      <c r="N81" s="1">
        <v>7541</v>
      </c>
      <c r="O81" s="1">
        <v>37</v>
      </c>
      <c r="P81" s="1" t="s">
        <v>52</v>
      </c>
      <c r="Q81" s="1">
        <v>269.48</v>
      </c>
      <c r="R81" s="1">
        <v>0.189753</v>
      </c>
      <c r="S81" s="1" t="s">
        <v>52</v>
      </c>
      <c r="T81" s="1" t="s">
        <v>277</v>
      </c>
      <c r="U81" s="24"/>
      <c r="Y81" s="26"/>
      <c r="Z81" s="19">
        <v>2334</v>
      </c>
      <c r="AA81" s="19">
        <v>5000</v>
      </c>
      <c r="AC81" s="1">
        <f t="shared" si="22"/>
        <v>2022</v>
      </c>
      <c r="AD81" s="1" t="s">
        <v>52</v>
      </c>
      <c r="AE81" s="1">
        <f t="shared" si="21"/>
        <v>0</v>
      </c>
      <c r="AI81" s="1">
        <f t="shared" si="23"/>
        <v>2022</v>
      </c>
      <c r="BB81" s="34"/>
    </row>
    <row r="82" s="1" customFormat="1" hidden="1" spans="2:54">
      <c r="B82" t="s">
        <v>280</v>
      </c>
      <c r="C82" t="s">
        <v>281</v>
      </c>
      <c r="D82"/>
      <c r="E82" t="s">
        <v>276</v>
      </c>
      <c r="I82" s="14"/>
      <c r="J82" s="15" t="s">
        <v>52</v>
      </c>
      <c r="K82" s="14"/>
      <c r="L82" s="17">
        <v>57000</v>
      </c>
      <c r="M82" s="1">
        <v>2</v>
      </c>
      <c r="N82" s="1">
        <v>7541</v>
      </c>
      <c r="O82" s="1">
        <v>37</v>
      </c>
      <c r="P82" s="1" t="s">
        <v>52</v>
      </c>
      <c r="Q82" s="1">
        <v>269.48</v>
      </c>
      <c r="R82" s="1">
        <v>0.189753</v>
      </c>
      <c r="S82" s="1" t="s">
        <v>52</v>
      </c>
      <c r="T82" s="1" t="s">
        <v>277</v>
      </c>
      <c r="U82" s="24"/>
      <c r="Y82" s="26"/>
      <c r="Z82" s="19">
        <v>2334</v>
      </c>
      <c r="AA82" s="19">
        <v>5000</v>
      </c>
      <c r="AC82" s="1">
        <f t="shared" si="22"/>
        <v>2022</v>
      </c>
      <c r="AD82" s="1" t="s">
        <v>52</v>
      </c>
      <c r="AE82" s="1">
        <f t="shared" si="21"/>
        <v>0</v>
      </c>
      <c r="AI82" s="1">
        <f t="shared" si="23"/>
        <v>2022</v>
      </c>
      <c r="BB82" s="34"/>
    </row>
    <row r="83" s="1" customFormat="1" hidden="1" spans="2:54">
      <c r="B83" t="s">
        <v>282</v>
      </c>
      <c r="C83" t="s">
        <v>283</v>
      </c>
      <c r="D83"/>
      <c r="E83" t="s">
        <v>276</v>
      </c>
      <c r="I83" s="14"/>
      <c r="J83" s="15" t="s">
        <v>52</v>
      </c>
      <c r="K83" s="14"/>
      <c r="L83" s="17">
        <v>57000</v>
      </c>
      <c r="M83" s="1">
        <v>2</v>
      </c>
      <c r="N83" s="1">
        <v>7541</v>
      </c>
      <c r="O83" s="1">
        <v>37</v>
      </c>
      <c r="P83" s="1" t="s">
        <v>52</v>
      </c>
      <c r="Q83" s="1">
        <v>269.48</v>
      </c>
      <c r="R83" s="1">
        <v>0.189753</v>
      </c>
      <c r="S83" s="1" t="s">
        <v>52</v>
      </c>
      <c r="T83" s="1" t="s">
        <v>277</v>
      </c>
      <c r="U83" s="24"/>
      <c r="Y83" s="26"/>
      <c r="Z83" s="19">
        <v>2334</v>
      </c>
      <c r="AA83" s="19">
        <v>5000</v>
      </c>
      <c r="AC83" s="1">
        <f t="shared" si="22"/>
        <v>2022</v>
      </c>
      <c r="AD83" s="1" t="s">
        <v>52</v>
      </c>
      <c r="AE83" s="1">
        <f t="shared" si="21"/>
        <v>0</v>
      </c>
      <c r="AI83" s="1">
        <f t="shared" si="23"/>
        <v>2022</v>
      </c>
      <c r="BB83" s="34"/>
    </row>
    <row r="84" s="1" customFormat="1" hidden="1" spans="2:35">
      <c r="B84" t="s">
        <v>284</v>
      </c>
      <c r="C84" t="s">
        <v>285</v>
      </c>
      <c r="D84"/>
      <c r="E84" t="s">
        <v>276</v>
      </c>
      <c r="I84" s="14"/>
      <c r="J84" s="15" t="s">
        <v>52</v>
      </c>
      <c r="K84" s="14"/>
      <c r="L84" s="17">
        <v>57000</v>
      </c>
      <c r="M84" s="1">
        <v>2</v>
      </c>
      <c r="N84" s="1">
        <v>7541</v>
      </c>
      <c r="O84" s="1">
        <v>37</v>
      </c>
      <c r="P84" s="1" t="s">
        <v>52</v>
      </c>
      <c r="Q84" s="1">
        <v>269.48</v>
      </c>
      <c r="R84" s="1">
        <v>0.189753</v>
      </c>
      <c r="S84" s="1" t="s">
        <v>52</v>
      </c>
      <c r="T84" s="1" t="s">
        <v>277</v>
      </c>
      <c r="U84" s="24"/>
      <c r="Y84" s="26"/>
      <c r="Z84" s="19">
        <v>2334</v>
      </c>
      <c r="AA84" s="19">
        <v>5000</v>
      </c>
      <c r="AC84" s="1">
        <f t="shared" si="22"/>
        <v>2022</v>
      </c>
      <c r="AD84" s="1" t="s">
        <v>52</v>
      </c>
      <c r="AE84" s="1">
        <f t="shared" si="21"/>
        <v>0</v>
      </c>
      <c r="AI84" s="1">
        <f t="shared" si="23"/>
        <v>2022</v>
      </c>
    </row>
    <row r="85" s="1" customFormat="1" hidden="1" spans="2:35">
      <c r="B85" t="s">
        <v>286</v>
      </c>
      <c r="C85" t="s">
        <v>287</v>
      </c>
      <c r="D85" s="10"/>
      <c r="E85" s="10" t="s">
        <v>288</v>
      </c>
      <c r="I85" s="14"/>
      <c r="J85" s="15" t="s">
        <v>52</v>
      </c>
      <c r="K85" s="14"/>
      <c r="L85" s="17">
        <v>57000</v>
      </c>
      <c r="M85" s="1">
        <v>2</v>
      </c>
      <c r="N85" s="1">
        <v>7541</v>
      </c>
      <c r="O85" s="1">
        <v>37</v>
      </c>
      <c r="P85" s="1" t="s">
        <v>52</v>
      </c>
      <c r="Q85" s="1">
        <v>269.48</v>
      </c>
      <c r="R85" s="1">
        <v>0.189753</v>
      </c>
      <c r="S85" s="1" t="s">
        <v>52</v>
      </c>
      <c r="T85" s="1" t="s">
        <v>289</v>
      </c>
      <c r="U85" s="24"/>
      <c r="Y85" s="26"/>
      <c r="Z85" s="19">
        <v>232</v>
      </c>
      <c r="AA85" s="19">
        <v>2700</v>
      </c>
      <c r="AB85" s="27">
        <v>1952</v>
      </c>
      <c r="AC85" s="1">
        <f t="shared" si="22"/>
        <v>70</v>
      </c>
      <c r="AD85" s="1" t="s">
        <v>82</v>
      </c>
      <c r="AE85" s="1">
        <f t="shared" si="21"/>
        <v>0</v>
      </c>
      <c r="AF85" s="26"/>
      <c r="AG85" s="19">
        <v>232</v>
      </c>
      <c r="AH85" s="26"/>
      <c r="AI85" s="1">
        <f t="shared" si="23"/>
        <v>2022</v>
      </c>
    </row>
    <row r="86" s="1" customFormat="1" hidden="1" spans="2:35">
      <c r="B86" s="3" t="s">
        <v>290</v>
      </c>
      <c r="C86" s="3" t="s">
        <v>291</v>
      </c>
      <c r="D86" s="3"/>
      <c r="E86" s="3" t="s">
        <v>291</v>
      </c>
      <c r="G86" s="11">
        <v>0.028</v>
      </c>
      <c r="I86" s="14"/>
      <c r="J86" s="15" t="s">
        <v>52</v>
      </c>
      <c r="K86" s="14"/>
      <c r="L86" s="17">
        <v>1547000</v>
      </c>
      <c r="M86" s="1">
        <v>2</v>
      </c>
      <c r="N86" s="1">
        <v>7541</v>
      </c>
      <c r="O86" s="1">
        <v>37</v>
      </c>
      <c r="P86" s="1" t="s">
        <v>52</v>
      </c>
      <c r="Q86" s="1">
        <v>269.48</v>
      </c>
      <c r="R86" s="1">
        <v>0.189753</v>
      </c>
      <c r="S86" s="1" t="s">
        <v>52</v>
      </c>
      <c r="T86" s="1" t="s">
        <v>292</v>
      </c>
      <c r="U86" s="24"/>
      <c r="AA86" s="1">
        <v>75400</v>
      </c>
      <c r="AC86" s="1">
        <f>2022-1964</f>
        <v>58</v>
      </c>
      <c r="AD86" s="1" t="s">
        <v>52</v>
      </c>
      <c r="AE86" s="1">
        <f t="shared" si="21"/>
        <v>0</v>
      </c>
      <c r="AI86" s="1">
        <f t="shared" si="23"/>
        <v>2022</v>
      </c>
    </row>
    <row r="87" s="1" customFormat="1" hidden="1" spans="2:35">
      <c r="B87" t="s">
        <v>293</v>
      </c>
      <c r="C87" t="s">
        <v>294</v>
      </c>
      <c r="D87"/>
      <c r="E87" t="s">
        <v>295</v>
      </c>
      <c r="I87" s="14"/>
      <c r="J87" s="15" t="s">
        <v>52</v>
      </c>
      <c r="K87" s="14"/>
      <c r="L87" s="17">
        <v>57000</v>
      </c>
      <c r="M87" s="1">
        <v>2</v>
      </c>
      <c r="N87" s="1">
        <v>7541</v>
      </c>
      <c r="O87" s="1">
        <v>37</v>
      </c>
      <c r="P87" s="1" t="s">
        <v>52</v>
      </c>
      <c r="Q87" s="1">
        <v>269.48</v>
      </c>
      <c r="R87" s="1">
        <v>0.189753</v>
      </c>
      <c r="S87" s="1" t="s">
        <v>52</v>
      </c>
      <c r="T87" s="1" t="s">
        <v>296</v>
      </c>
      <c r="U87" s="24"/>
      <c r="AA87" s="1">
        <v>5153</v>
      </c>
      <c r="AB87" s="27">
        <v>1927</v>
      </c>
      <c r="AC87" s="1">
        <f t="shared" ref="AC87:AC100" si="24">2022-AB87</f>
        <v>95</v>
      </c>
      <c r="AD87" s="1" t="s">
        <v>52</v>
      </c>
      <c r="AE87" s="1">
        <f t="shared" si="21"/>
        <v>0</v>
      </c>
      <c r="AI87" s="1">
        <f t="shared" si="23"/>
        <v>2022</v>
      </c>
    </row>
    <row r="88" s="1" customFormat="1" hidden="1" spans="2:35">
      <c r="B88" t="s">
        <v>297</v>
      </c>
      <c r="C88" t="s">
        <v>298</v>
      </c>
      <c r="D88"/>
      <c r="E88" t="s">
        <v>295</v>
      </c>
      <c r="I88" s="14"/>
      <c r="J88" s="15" t="s">
        <v>52</v>
      </c>
      <c r="K88" s="14"/>
      <c r="L88" s="17">
        <v>57000</v>
      </c>
      <c r="M88" s="1">
        <v>2</v>
      </c>
      <c r="N88" s="1">
        <v>7541</v>
      </c>
      <c r="O88" s="1">
        <v>37</v>
      </c>
      <c r="P88" s="1" t="s">
        <v>52</v>
      </c>
      <c r="Q88" s="1">
        <v>269.48</v>
      </c>
      <c r="R88" s="1">
        <v>0.189753</v>
      </c>
      <c r="S88" s="1" t="s">
        <v>52</v>
      </c>
      <c r="T88" s="1" t="s">
        <v>296</v>
      </c>
      <c r="U88" s="24"/>
      <c r="AA88" s="1">
        <v>5153</v>
      </c>
      <c r="AB88" s="27">
        <v>1927</v>
      </c>
      <c r="AC88" s="1">
        <f t="shared" si="24"/>
        <v>95</v>
      </c>
      <c r="AD88" s="1" t="s">
        <v>52</v>
      </c>
      <c r="AE88" s="1">
        <f t="shared" si="21"/>
        <v>0</v>
      </c>
      <c r="AI88" s="1">
        <f t="shared" si="23"/>
        <v>2022</v>
      </c>
    </row>
    <row r="89" s="1" customFormat="1" hidden="1" spans="2:35">
      <c r="B89" t="s">
        <v>299</v>
      </c>
      <c r="C89" t="s">
        <v>300</v>
      </c>
      <c r="D89"/>
      <c r="E89" t="s">
        <v>295</v>
      </c>
      <c r="I89" s="14"/>
      <c r="J89" s="15" t="s">
        <v>52</v>
      </c>
      <c r="K89" s="14"/>
      <c r="L89" s="17">
        <v>57000</v>
      </c>
      <c r="M89" s="1">
        <v>2</v>
      </c>
      <c r="N89" s="1">
        <v>7541</v>
      </c>
      <c r="O89" s="1">
        <v>37</v>
      </c>
      <c r="P89" s="1" t="s">
        <v>52</v>
      </c>
      <c r="Q89" s="1">
        <v>269.48</v>
      </c>
      <c r="R89" s="1">
        <v>0.189753</v>
      </c>
      <c r="S89" s="1" t="s">
        <v>52</v>
      </c>
      <c r="T89" s="1" t="s">
        <v>296</v>
      </c>
      <c r="U89" s="24"/>
      <c r="AA89" s="1">
        <v>5153</v>
      </c>
      <c r="AB89" s="27">
        <v>1927</v>
      </c>
      <c r="AC89" s="1">
        <f t="shared" si="24"/>
        <v>95</v>
      </c>
      <c r="AD89" s="1" t="s">
        <v>52</v>
      </c>
      <c r="AE89" s="1">
        <f t="shared" si="21"/>
        <v>0</v>
      </c>
      <c r="AI89" s="1">
        <f t="shared" si="23"/>
        <v>2022</v>
      </c>
    </row>
    <row r="90" s="1" customFormat="1" hidden="1" spans="2:35">
      <c r="B90" t="s">
        <v>301</v>
      </c>
      <c r="C90" t="s">
        <v>302</v>
      </c>
      <c r="D90"/>
      <c r="E90" t="s">
        <v>295</v>
      </c>
      <c r="I90" s="14"/>
      <c r="J90" s="15" t="s">
        <v>52</v>
      </c>
      <c r="K90" s="14"/>
      <c r="L90" s="17">
        <v>57000</v>
      </c>
      <c r="M90" s="1">
        <v>2</v>
      </c>
      <c r="N90" s="1">
        <v>7541</v>
      </c>
      <c r="O90" s="1">
        <v>37</v>
      </c>
      <c r="P90" s="1" t="s">
        <v>52</v>
      </c>
      <c r="Q90" s="1">
        <v>269.48</v>
      </c>
      <c r="R90" s="1">
        <v>0.189753</v>
      </c>
      <c r="S90" s="1" t="s">
        <v>52</v>
      </c>
      <c r="T90" s="1" t="s">
        <v>296</v>
      </c>
      <c r="U90" s="24"/>
      <c r="AA90" s="1">
        <v>5153</v>
      </c>
      <c r="AB90" s="27">
        <v>1927</v>
      </c>
      <c r="AC90" s="1">
        <f t="shared" si="24"/>
        <v>95</v>
      </c>
      <c r="AD90" s="1" t="s">
        <v>52</v>
      </c>
      <c r="AE90" s="1">
        <f t="shared" si="21"/>
        <v>0</v>
      </c>
      <c r="AI90" s="1">
        <f t="shared" si="23"/>
        <v>2022</v>
      </c>
    </row>
    <row r="91" s="1" customFormat="1" hidden="1" spans="2:35">
      <c r="B91" t="s">
        <v>303</v>
      </c>
      <c r="C91" t="s">
        <v>304</v>
      </c>
      <c r="D91"/>
      <c r="E91" t="s">
        <v>305</v>
      </c>
      <c r="I91" s="14"/>
      <c r="J91" s="15" t="s">
        <v>52</v>
      </c>
      <c r="K91" s="14"/>
      <c r="L91" s="17">
        <v>57000</v>
      </c>
      <c r="M91" s="1">
        <v>2</v>
      </c>
      <c r="N91" s="1">
        <v>7541</v>
      </c>
      <c r="O91" s="1">
        <v>37</v>
      </c>
      <c r="P91" s="1" t="s">
        <v>52</v>
      </c>
      <c r="Q91" s="1">
        <v>269.48</v>
      </c>
      <c r="R91" s="1">
        <v>0.189753</v>
      </c>
      <c r="S91" s="1" t="s">
        <v>52</v>
      </c>
      <c r="T91" s="1" t="s">
        <v>306</v>
      </c>
      <c r="U91" s="24"/>
      <c r="AA91" s="19">
        <v>7000</v>
      </c>
      <c r="AC91" s="1">
        <f t="shared" si="24"/>
        <v>2022</v>
      </c>
      <c r="AD91" s="1" t="s">
        <v>52</v>
      </c>
      <c r="AE91" s="1">
        <f t="shared" si="21"/>
        <v>0</v>
      </c>
      <c r="AI91" s="1">
        <f t="shared" si="23"/>
        <v>2022</v>
      </c>
    </row>
    <row r="92" s="1" customFormat="1" hidden="1" spans="2:35">
      <c r="B92" t="s">
        <v>307</v>
      </c>
      <c r="C92" t="s">
        <v>308</v>
      </c>
      <c r="D92"/>
      <c r="E92" t="s">
        <v>305</v>
      </c>
      <c r="I92" s="14"/>
      <c r="J92" s="15" t="s">
        <v>52</v>
      </c>
      <c r="K92" s="14"/>
      <c r="L92" s="17">
        <v>57000</v>
      </c>
      <c r="M92" s="1">
        <v>2</v>
      </c>
      <c r="N92" s="1">
        <v>7541</v>
      </c>
      <c r="O92" s="1">
        <v>37</v>
      </c>
      <c r="P92" s="1" t="s">
        <v>52</v>
      </c>
      <c r="Q92" s="1">
        <v>269.48</v>
      </c>
      <c r="R92" s="1">
        <v>0.189753</v>
      </c>
      <c r="S92" s="1" t="s">
        <v>52</v>
      </c>
      <c r="T92" s="1" t="s">
        <v>306</v>
      </c>
      <c r="U92" s="24"/>
      <c r="AA92" s="19">
        <v>7000</v>
      </c>
      <c r="AC92" s="1">
        <f t="shared" si="24"/>
        <v>2022</v>
      </c>
      <c r="AD92" s="1" t="s">
        <v>52</v>
      </c>
      <c r="AE92" s="1">
        <f t="shared" si="21"/>
        <v>0</v>
      </c>
      <c r="AI92" s="1">
        <f t="shared" si="23"/>
        <v>2022</v>
      </c>
    </row>
    <row r="93" s="1" customFormat="1" hidden="1" spans="2:35">
      <c r="B93" t="s">
        <v>309</v>
      </c>
      <c r="C93" t="s">
        <v>310</v>
      </c>
      <c r="D93"/>
      <c r="E93" t="s">
        <v>305</v>
      </c>
      <c r="I93" s="14"/>
      <c r="J93" s="15" t="s">
        <v>52</v>
      </c>
      <c r="K93" s="14"/>
      <c r="L93" s="17">
        <v>57000</v>
      </c>
      <c r="M93" s="1">
        <v>2</v>
      </c>
      <c r="N93" s="1">
        <v>7541</v>
      </c>
      <c r="O93" s="1">
        <v>37</v>
      </c>
      <c r="P93" s="1" t="s">
        <v>52</v>
      </c>
      <c r="Q93" s="1">
        <v>269.48</v>
      </c>
      <c r="R93" s="1">
        <v>0.189753</v>
      </c>
      <c r="S93" s="1" t="s">
        <v>52</v>
      </c>
      <c r="T93" s="1" t="s">
        <v>306</v>
      </c>
      <c r="U93" s="24"/>
      <c r="AA93" s="19">
        <v>7000</v>
      </c>
      <c r="AC93" s="1">
        <f t="shared" si="24"/>
        <v>2022</v>
      </c>
      <c r="AD93" s="1" t="s">
        <v>52</v>
      </c>
      <c r="AE93" s="1">
        <f t="shared" si="21"/>
        <v>0</v>
      </c>
      <c r="AI93" s="1">
        <f t="shared" si="23"/>
        <v>2022</v>
      </c>
    </row>
    <row r="94" s="1" customFormat="1" hidden="1" spans="2:35">
      <c r="B94" t="s">
        <v>311</v>
      </c>
      <c r="C94" t="s">
        <v>312</v>
      </c>
      <c r="D94"/>
      <c r="E94" t="s">
        <v>305</v>
      </c>
      <c r="I94" s="14"/>
      <c r="J94" s="15" t="s">
        <v>52</v>
      </c>
      <c r="K94" s="14"/>
      <c r="L94" s="17">
        <v>57000</v>
      </c>
      <c r="M94" s="1">
        <v>2</v>
      </c>
      <c r="N94" s="1">
        <v>7541</v>
      </c>
      <c r="O94" s="1">
        <v>37</v>
      </c>
      <c r="P94" s="1" t="s">
        <v>52</v>
      </c>
      <c r="Q94" s="1">
        <v>269.48</v>
      </c>
      <c r="R94" s="1">
        <v>0.189753</v>
      </c>
      <c r="S94" s="1" t="s">
        <v>52</v>
      </c>
      <c r="T94" s="1" t="s">
        <v>306</v>
      </c>
      <c r="U94" s="24"/>
      <c r="AA94" s="19">
        <v>7000</v>
      </c>
      <c r="AC94" s="1">
        <f t="shared" si="24"/>
        <v>2022</v>
      </c>
      <c r="AD94" s="1" t="s">
        <v>52</v>
      </c>
      <c r="AE94" s="1">
        <f t="shared" si="21"/>
        <v>0</v>
      </c>
      <c r="AI94" s="1">
        <f t="shared" si="23"/>
        <v>2022</v>
      </c>
    </row>
    <row r="95" s="1" customFormat="1" hidden="1" spans="2:35">
      <c r="B95" t="s">
        <v>313</v>
      </c>
      <c r="C95" t="s">
        <v>314</v>
      </c>
      <c r="D95"/>
      <c r="E95" t="s">
        <v>315</v>
      </c>
      <c r="I95" s="14"/>
      <c r="J95" s="15" t="s">
        <v>52</v>
      </c>
      <c r="K95" s="14"/>
      <c r="L95" s="17">
        <v>57000</v>
      </c>
      <c r="M95" s="1">
        <v>2</v>
      </c>
      <c r="N95" s="1">
        <v>7541</v>
      </c>
      <c r="O95" s="1">
        <v>37</v>
      </c>
      <c r="P95" s="1" t="s">
        <v>52</v>
      </c>
      <c r="Q95" s="1">
        <v>269.48</v>
      </c>
      <c r="R95" s="1">
        <v>0.189753</v>
      </c>
      <c r="S95" s="1" t="s">
        <v>52</v>
      </c>
      <c r="T95" s="1" t="s">
        <v>316</v>
      </c>
      <c r="U95" s="24"/>
      <c r="AA95" s="19">
        <v>1147</v>
      </c>
      <c r="AC95" s="1">
        <f t="shared" si="24"/>
        <v>2022</v>
      </c>
      <c r="AD95" s="1" t="s">
        <v>52</v>
      </c>
      <c r="AE95" s="1">
        <f t="shared" ref="AE95:AE127" si="25">9328.83*F95</f>
        <v>0</v>
      </c>
      <c r="AI95" s="1">
        <f t="shared" si="23"/>
        <v>2022</v>
      </c>
    </row>
    <row r="96" s="1" customFormat="1" hidden="1" spans="2:35">
      <c r="B96" t="s">
        <v>317</v>
      </c>
      <c r="C96" t="s">
        <v>318</v>
      </c>
      <c r="D96" s="10"/>
      <c r="E96" s="10" t="s">
        <v>319</v>
      </c>
      <c r="I96" s="14"/>
      <c r="J96" s="15" t="s">
        <v>52</v>
      </c>
      <c r="K96" s="14"/>
      <c r="L96" s="17">
        <v>57000</v>
      </c>
      <c r="M96" s="1">
        <v>2</v>
      </c>
      <c r="N96" s="1">
        <v>7541</v>
      </c>
      <c r="O96" s="1">
        <v>37</v>
      </c>
      <c r="P96" s="1" t="s">
        <v>52</v>
      </c>
      <c r="Q96" s="1">
        <v>269.48</v>
      </c>
      <c r="R96" s="1">
        <v>0.189753</v>
      </c>
      <c r="U96" s="24"/>
      <c r="Y96" s="26"/>
      <c r="Z96" s="19">
        <v>633</v>
      </c>
      <c r="AA96" s="19">
        <v>13331</v>
      </c>
      <c r="AC96" s="1">
        <f t="shared" si="24"/>
        <v>2022</v>
      </c>
      <c r="AE96" s="1">
        <f t="shared" si="25"/>
        <v>0</v>
      </c>
      <c r="AI96" s="1">
        <f t="shared" si="23"/>
        <v>2022</v>
      </c>
    </row>
    <row r="97" s="1" customFormat="1" hidden="1" spans="2:49">
      <c r="B97" t="s">
        <v>320</v>
      </c>
      <c r="C97" t="s">
        <v>321</v>
      </c>
      <c r="D97" s="10"/>
      <c r="E97" s="10" t="s">
        <v>319</v>
      </c>
      <c r="I97" s="14"/>
      <c r="J97" s="15" t="s">
        <v>52</v>
      </c>
      <c r="K97" s="14"/>
      <c r="L97" s="17">
        <v>57000</v>
      </c>
      <c r="M97" s="1">
        <v>2</v>
      </c>
      <c r="N97" s="1">
        <v>7541</v>
      </c>
      <c r="O97" s="1">
        <v>37</v>
      </c>
      <c r="P97" s="1" t="s">
        <v>52</v>
      </c>
      <c r="Q97" s="1">
        <v>269.48</v>
      </c>
      <c r="R97" s="1">
        <v>0.189753</v>
      </c>
      <c r="U97" s="24"/>
      <c r="Y97" s="26"/>
      <c r="Z97" s="19">
        <v>633</v>
      </c>
      <c r="AA97" s="19">
        <v>13331</v>
      </c>
      <c r="AC97" s="1">
        <f t="shared" si="24"/>
        <v>2022</v>
      </c>
      <c r="AE97" s="1">
        <f t="shared" si="25"/>
        <v>0</v>
      </c>
      <c r="AI97" s="1">
        <f t="shared" si="23"/>
        <v>2022</v>
      </c>
      <c r="AW97" s="1">
        <v>34.9</v>
      </c>
    </row>
    <row r="98" s="1" customFormat="1" hidden="1" spans="2:35">
      <c r="B98" t="s">
        <v>322</v>
      </c>
      <c r="C98" t="s">
        <v>323</v>
      </c>
      <c r="D98"/>
      <c r="E98" t="s">
        <v>324</v>
      </c>
      <c r="I98" s="14"/>
      <c r="J98" s="15" t="s">
        <v>52</v>
      </c>
      <c r="K98" s="14"/>
      <c r="L98" s="17">
        <v>57000</v>
      </c>
      <c r="M98" s="1">
        <v>2</v>
      </c>
      <c r="N98" s="1">
        <v>7541</v>
      </c>
      <c r="O98" s="1">
        <v>37</v>
      </c>
      <c r="P98" s="1" t="s">
        <v>52</v>
      </c>
      <c r="Q98" s="1">
        <v>269.48</v>
      </c>
      <c r="R98" s="1">
        <v>0.189753</v>
      </c>
      <c r="S98" s="1" t="s">
        <v>52</v>
      </c>
      <c r="T98" s="1" t="s">
        <v>325</v>
      </c>
      <c r="U98" s="24"/>
      <c r="AA98" s="19">
        <v>4472</v>
      </c>
      <c r="AC98" s="1">
        <f t="shared" si="24"/>
        <v>2022</v>
      </c>
      <c r="AD98" s="15" t="s">
        <v>82</v>
      </c>
      <c r="AE98" s="1">
        <f t="shared" si="25"/>
        <v>0</v>
      </c>
      <c r="AI98" s="1">
        <f t="shared" si="23"/>
        <v>2022</v>
      </c>
    </row>
    <row r="99" s="1" customFormat="1" hidden="1" spans="2:35">
      <c r="B99" t="s">
        <v>326</v>
      </c>
      <c r="C99" t="s">
        <v>327</v>
      </c>
      <c r="D99"/>
      <c r="E99" t="s">
        <v>324</v>
      </c>
      <c r="I99" s="14"/>
      <c r="J99" s="15" t="s">
        <v>52</v>
      </c>
      <c r="K99" s="14"/>
      <c r="L99" s="17">
        <v>57000</v>
      </c>
      <c r="M99" s="1">
        <v>2</v>
      </c>
      <c r="N99" s="1">
        <v>7541</v>
      </c>
      <c r="O99" s="1">
        <v>37</v>
      </c>
      <c r="P99" s="1" t="s">
        <v>52</v>
      </c>
      <c r="Q99" s="1">
        <v>269.48</v>
      </c>
      <c r="R99" s="1">
        <v>0.189753</v>
      </c>
      <c r="S99" s="1" t="s">
        <v>52</v>
      </c>
      <c r="T99" s="1" t="s">
        <v>325</v>
      </c>
      <c r="U99" s="24"/>
      <c r="AA99" s="19">
        <v>4472</v>
      </c>
      <c r="AC99" s="1">
        <f t="shared" si="24"/>
        <v>2022</v>
      </c>
      <c r="AD99" s="15" t="s">
        <v>82</v>
      </c>
      <c r="AE99" s="1">
        <f t="shared" si="25"/>
        <v>0</v>
      </c>
      <c r="AI99" s="1">
        <f t="shared" si="23"/>
        <v>2022</v>
      </c>
    </row>
    <row r="100" s="1" customFormat="1" hidden="1" spans="2:35">
      <c r="B100" t="s">
        <v>328</v>
      </c>
      <c r="C100" t="s">
        <v>329</v>
      </c>
      <c r="D100"/>
      <c r="E100" t="s">
        <v>324</v>
      </c>
      <c r="I100" s="14"/>
      <c r="J100" s="15" t="s">
        <v>52</v>
      </c>
      <c r="K100" s="14"/>
      <c r="L100" s="17">
        <v>57000</v>
      </c>
      <c r="M100" s="1">
        <v>2</v>
      </c>
      <c r="N100" s="1">
        <v>7541</v>
      </c>
      <c r="O100" s="1">
        <v>37</v>
      </c>
      <c r="P100" s="1" t="s">
        <v>52</v>
      </c>
      <c r="Q100" s="1">
        <v>269.48</v>
      </c>
      <c r="R100" s="1">
        <v>0.189753</v>
      </c>
      <c r="S100" s="1" t="s">
        <v>52</v>
      </c>
      <c r="T100" s="1" t="s">
        <v>325</v>
      </c>
      <c r="U100" s="24"/>
      <c r="AA100" s="19">
        <v>4472</v>
      </c>
      <c r="AC100" s="1">
        <f t="shared" si="24"/>
        <v>2022</v>
      </c>
      <c r="AD100" s="15" t="s">
        <v>82</v>
      </c>
      <c r="AE100" s="1">
        <f t="shared" si="25"/>
        <v>0</v>
      </c>
      <c r="AI100" s="1">
        <f t="shared" si="23"/>
        <v>2022</v>
      </c>
    </row>
    <row r="101" s="1" customFormat="1" hidden="1" spans="2:35">
      <c r="B101" t="s">
        <v>330</v>
      </c>
      <c r="C101" t="s">
        <v>331</v>
      </c>
      <c r="D101" s="10"/>
      <c r="E101" s="10" t="s">
        <v>332</v>
      </c>
      <c r="I101" s="14"/>
      <c r="J101" s="15" t="s">
        <v>52</v>
      </c>
      <c r="K101" s="14"/>
      <c r="L101" s="17">
        <v>57000</v>
      </c>
      <c r="M101" s="1">
        <v>2</v>
      </c>
      <c r="N101" s="1">
        <v>7541</v>
      </c>
      <c r="O101" s="1">
        <v>37</v>
      </c>
      <c r="P101" s="1" t="s">
        <v>52</v>
      </c>
      <c r="Q101" s="1">
        <v>269.48</v>
      </c>
      <c r="R101" s="1">
        <v>0.189753</v>
      </c>
      <c r="S101" s="1" t="s">
        <v>52</v>
      </c>
      <c r="T101" s="1" t="s">
        <v>333</v>
      </c>
      <c r="U101" s="24"/>
      <c r="V101" s="12">
        <v>0.21</v>
      </c>
      <c r="AA101" s="19">
        <v>33000</v>
      </c>
      <c r="AB101" s="1">
        <v>1881</v>
      </c>
      <c r="AC101" s="1">
        <f>2022-1958</f>
        <v>64</v>
      </c>
      <c r="AD101" s="1" t="s">
        <v>52</v>
      </c>
      <c r="AE101" s="1">
        <f t="shared" si="25"/>
        <v>0</v>
      </c>
      <c r="AI101" s="1">
        <f t="shared" si="23"/>
        <v>2022</v>
      </c>
    </row>
    <row r="102" s="1" customFormat="1" hidden="1" spans="2:35">
      <c r="B102" t="s">
        <v>334</v>
      </c>
      <c r="C102" t="s">
        <v>335</v>
      </c>
      <c r="D102" s="10"/>
      <c r="E102" s="10" t="s">
        <v>332</v>
      </c>
      <c r="I102" s="14"/>
      <c r="J102" s="15" t="s">
        <v>52</v>
      </c>
      <c r="K102" s="14"/>
      <c r="L102" s="17">
        <v>57000</v>
      </c>
      <c r="M102" s="1">
        <v>2</v>
      </c>
      <c r="N102" s="1">
        <v>7541</v>
      </c>
      <c r="O102" s="1">
        <v>37</v>
      </c>
      <c r="P102" s="1" t="s">
        <v>52</v>
      </c>
      <c r="Q102" s="1">
        <v>269.48</v>
      </c>
      <c r="R102" s="1">
        <v>0.189753</v>
      </c>
      <c r="S102" s="1" t="s">
        <v>52</v>
      </c>
      <c r="T102" s="1" t="s">
        <v>333</v>
      </c>
      <c r="U102" s="24"/>
      <c r="V102" s="12">
        <v>0.21</v>
      </c>
      <c r="AA102" s="19">
        <v>33000</v>
      </c>
      <c r="AB102" s="1">
        <v>1881</v>
      </c>
      <c r="AC102" s="1">
        <f>2022-1958</f>
        <v>64</v>
      </c>
      <c r="AD102" s="1" t="s">
        <v>52</v>
      </c>
      <c r="AE102" s="1">
        <f t="shared" si="25"/>
        <v>0</v>
      </c>
      <c r="AI102" s="1">
        <f t="shared" si="23"/>
        <v>2022</v>
      </c>
    </row>
    <row r="103" s="1" customFormat="1" hidden="1" spans="2:35">
      <c r="B103" t="s">
        <v>336</v>
      </c>
      <c r="C103" t="s">
        <v>337</v>
      </c>
      <c r="D103" s="10"/>
      <c r="E103" s="10" t="s">
        <v>338</v>
      </c>
      <c r="I103" s="14"/>
      <c r="J103" s="15" t="s">
        <v>52</v>
      </c>
      <c r="K103" s="14"/>
      <c r="L103" s="17">
        <v>57000</v>
      </c>
      <c r="M103" s="1">
        <v>2</v>
      </c>
      <c r="N103" s="1">
        <v>7541</v>
      </c>
      <c r="O103" s="1">
        <v>37</v>
      </c>
      <c r="P103" s="1" t="s">
        <v>52</v>
      </c>
      <c r="Q103" s="1">
        <v>269.48</v>
      </c>
      <c r="R103" s="1">
        <v>0.189753</v>
      </c>
      <c r="S103" s="15" t="s">
        <v>52</v>
      </c>
      <c r="T103" s="1">
        <v>4400.8</v>
      </c>
      <c r="U103" s="24"/>
      <c r="V103" s="12">
        <v>0.15</v>
      </c>
      <c r="Y103" s="26"/>
      <c r="Z103" s="19">
        <v>548</v>
      </c>
      <c r="AA103" s="19">
        <v>20300</v>
      </c>
      <c r="AC103" s="1">
        <f t="shared" ref="AC103:AC166" si="26">2022-AB103</f>
        <v>2022</v>
      </c>
      <c r="AD103" s="1" t="s">
        <v>52</v>
      </c>
      <c r="AE103" s="1">
        <f t="shared" si="25"/>
        <v>0</v>
      </c>
      <c r="AI103" s="1">
        <f t="shared" si="23"/>
        <v>2022</v>
      </c>
    </row>
    <row r="104" s="1" customFormat="1" hidden="1" spans="2:35">
      <c r="B104" t="s">
        <v>339</v>
      </c>
      <c r="C104" t="s">
        <v>340</v>
      </c>
      <c r="D104" s="10"/>
      <c r="E104" s="10" t="s">
        <v>338</v>
      </c>
      <c r="I104" s="14"/>
      <c r="J104" s="15" t="s">
        <v>52</v>
      </c>
      <c r="K104" s="14"/>
      <c r="L104" s="17">
        <v>57000</v>
      </c>
      <c r="M104" s="1">
        <v>2</v>
      </c>
      <c r="N104" s="1">
        <v>7541</v>
      </c>
      <c r="O104" s="1">
        <v>37</v>
      </c>
      <c r="P104" s="1" t="s">
        <v>52</v>
      </c>
      <c r="Q104" s="1">
        <v>269.48</v>
      </c>
      <c r="R104" s="1">
        <v>0.189753</v>
      </c>
      <c r="S104" s="15" t="s">
        <v>52</v>
      </c>
      <c r="T104" s="1">
        <v>4400.8</v>
      </c>
      <c r="U104" s="24"/>
      <c r="V104" s="12">
        <v>0.15</v>
      </c>
      <c r="Y104" s="26"/>
      <c r="Z104" s="19">
        <v>548</v>
      </c>
      <c r="AA104" s="19">
        <v>20300</v>
      </c>
      <c r="AC104" s="1">
        <f t="shared" si="26"/>
        <v>2022</v>
      </c>
      <c r="AD104" s="1" t="s">
        <v>52</v>
      </c>
      <c r="AE104" s="1">
        <f t="shared" si="25"/>
        <v>0</v>
      </c>
      <c r="AI104" s="1">
        <f t="shared" si="23"/>
        <v>2022</v>
      </c>
    </row>
    <row r="105" s="1" customFormat="1" hidden="1" spans="2:35">
      <c r="B105" t="s">
        <v>341</v>
      </c>
      <c r="C105" t="s">
        <v>342</v>
      </c>
      <c r="D105" s="10"/>
      <c r="E105" s="10" t="s">
        <v>338</v>
      </c>
      <c r="G105" s="11">
        <v>0.003</v>
      </c>
      <c r="I105" s="14"/>
      <c r="J105" s="15" t="s">
        <v>52</v>
      </c>
      <c r="K105" s="14"/>
      <c r="L105" s="17">
        <v>57000</v>
      </c>
      <c r="M105" s="1">
        <v>2</v>
      </c>
      <c r="N105" s="1">
        <v>7541</v>
      </c>
      <c r="O105" s="1">
        <v>37</v>
      </c>
      <c r="P105" s="1" t="s">
        <v>52</v>
      </c>
      <c r="Q105" s="1">
        <v>269.48</v>
      </c>
      <c r="R105" s="1">
        <v>0.189753</v>
      </c>
      <c r="S105" s="15" t="s">
        <v>52</v>
      </c>
      <c r="T105" s="1">
        <v>4400.8</v>
      </c>
      <c r="U105" s="24"/>
      <c r="V105" s="12">
        <v>0.15</v>
      </c>
      <c r="Y105" s="26"/>
      <c r="Z105" s="19">
        <v>548</v>
      </c>
      <c r="AA105" s="19">
        <v>20300</v>
      </c>
      <c r="AC105" s="1">
        <f t="shared" si="26"/>
        <v>2022</v>
      </c>
      <c r="AD105" s="1" t="s">
        <v>52</v>
      </c>
      <c r="AE105" s="1">
        <f t="shared" si="25"/>
        <v>0</v>
      </c>
      <c r="AI105" s="1">
        <f t="shared" si="23"/>
        <v>2022</v>
      </c>
    </row>
    <row r="106" s="1" customFormat="1" hidden="1" spans="2:49">
      <c r="B106" t="s">
        <v>343</v>
      </c>
      <c r="C106" t="s">
        <v>344</v>
      </c>
      <c r="D106"/>
      <c r="E106" t="s">
        <v>345</v>
      </c>
      <c r="I106" s="14"/>
      <c r="J106" s="15" t="s">
        <v>52</v>
      </c>
      <c r="K106" s="14"/>
      <c r="L106" s="17">
        <v>57000</v>
      </c>
      <c r="M106" s="1">
        <v>2</v>
      </c>
      <c r="N106" s="1">
        <v>7541</v>
      </c>
      <c r="O106" s="1">
        <v>37</v>
      </c>
      <c r="P106" s="1" t="s">
        <v>52</v>
      </c>
      <c r="Q106" s="1">
        <v>269.48</v>
      </c>
      <c r="R106" s="1">
        <v>0.189753</v>
      </c>
      <c r="S106" s="1" t="s">
        <v>52</v>
      </c>
      <c r="T106" s="1" t="s">
        <v>346</v>
      </c>
      <c r="U106" s="24"/>
      <c r="AA106" s="19">
        <v>4000</v>
      </c>
      <c r="AC106" s="1">
        <f t="shared" si="26"/>
        <v>2022</v>
      </c>
      <c r="AD106" s="1" t="s">
        <v>52</v>
      </c>
      <c r="AE106" s="1">
        <f t="shared" si="25"/>
        <v>0</v>
      </c>
      <c r="AI106" s="1">
        <f t="shared" si="23"/>
        <v>2022</v>
      </c>
      <c r="AW106" s="1">
        <v>20.4</v>
      </c>
    </row>
    <row r="107" s="1" customFormat="1" hidden="1" spans="2:35">
      <c r="B107" t="s">
        <v>347</v>
      </c>
      <c r="C107" t="s">
        <v>348</v>
      </c>
      <c r="D107" s="10"/>
      <c r="E107" s="10" t="s">
        <v>349</v>
      </c>
      <c r="I107" s="14"/>
      <c r="J107" s="15" t="s">
        <v>52</v>
      </c>
      <c r="K107" s="14"/>
      <c r="L107" s="17">
        <v>57000</v>
      </c>
      <c r="M107" s="1">
        <v>2</v>
      </c>
      <c r="N107" s="1">
        <v>7541</v>
      </c>
      <c r="O107" s="1">
        <v>37</v>
      </c>
      <c r="P107" s="1" t="s">
        <v>52</v>
      </c>
      <c r="Q107" s="1">
        <v>269.48</v>
      </c>
      <c r="R107" s="1">
        <v>0.189753</v>
      </c>
      <c r="S107" s="1" t="s">
        <v>52</v>
      </c>
      <c r="T107" s="1" t="s">
        <v>350</v>
      </c>
      <c r="U107" s="24"/>
      <c r="Y107" s="26"/>
      <c r="Z107" s="19">
        <v>644</v>
      </c>
      <c r="AA107" s="19">
        <v>3855</v>
      </c>
      <c r="AB107" s="27">
        <v>1927</v>
      </c>
      <c r="AC107" s="1">
        <f t="shared" si="26"/>
        <v>95</v>
      </c>
      <c r="AE107" s="1">
        <f t="shared" si="25"/>
        <v>0</v>
      </c>
      <c r="AF107" s="26"/>
      <c r="AG107" s="19">
        <v>644</v>
      </c>
      <c r="AH107" s="26"/>
      <c r="AI107" s="1">
        <f t="shared" si="23"/>
        <v>2022</v>
      </c>
    </row>
    <row r="108" s="1" customFormat="1" ht="18" hidden="1" spans="2:35">
      <c r="B108" t="s">
        <v>351</v>
      </c>
      <c r="C108" t="s">
        <v>352</v>
      </c>
      <c r="D108"/>
      <c r="E108" t="s">
        <v>353</v>
      </c>
      <c r="I108" s="14"/>
      <c r="J108" s="15" t="s">
        <v>52</v>
      </c>
      <c r="K108" s="14"/>
      <c r="L108" s="17">
        <v>57000</v>
      </c>
      <c r="M108" s="1">
        <v>2</v>
      </c>
      <c r="N108" s="1">
        <v>7541</v>
      </c>
      <c r="O108" s="1">
        <v>37</v>
      </c>
      <c r="P108" s="1" t="s">
        <v>52</v>
      </c>
      <c r="Q108" s="1">
        <v>269.48</v>
      </c>
      <c r="R108" s="1">
        <v>0.189753</v>
      </c>
      <c r="S108" s="1" t="s">
        <v>52</v>
      </c>
      <c r="T108" s="1" t="s">
        <v>354</v>
      </c>
      <c r="U108" s="24"/>
      <c r="AC108" s="1">
        <f t="shared" si="26"/>
        <v>2022</v>
      </c>
      <c r="AD108" s="1" t="s">
        <v>52</v>
      </c>
      <c r="AE108" s="1">
        <f t="shared" si="25"/>
        <v>0</v>
      </c>
      <c r="AI108" s="1">
        <f t="shared" si="23"/>
        <v>2022</v>
      </c>
    </row>
    <row r="109" s="1" customFormat="1" ht="18" hidden="1" spans="2:35">
      <c r="B109" t="s">
        <v>355</v>
      </c>
      <c r="C109" t="s">
        <v>356</v>
      </c>
      <c r="D109"/>
      <c r="E109" t="s">
        <v>353</v>
      </c>
      <c r="I109" s="14"/>
      <c r="J109" s="15" t="s">
        <v>52</v>
      </c>
      <c r="K109" s="14"/>
      <c r="L109" s="17">
        <v>57000</v>
      </c>
      <c r="M109" s="1">
        <v>2</v>
      </c>
      <c r="N109" s="1">
        <v>7541</v>
      </c>
      <c r="O109" s="1">
        <v>37</v>
      </c>
      <c r="P109" s="1" t="s">
        <v>52</v>
      </c>
      <c r="Q109" s="1">
        <v>269.48</v>
      </c>
      <c r="R109" s="1">
        <v>0.189753</v>
      </c>
      <c r="S109" s="1" t="s">
        <v>52</v>
      </c>
      <c r="T109" s="1" t="s">
        <v>354</v>
      </c>
      <c r="U109" s="24"/>
      <c r="AC109" s="1">
        <f t="shared" si="26"/>
        <v>2022</v>
      </c>
      <c r="AD109" s="1" t="s">
        <v>52</v>
      </c>
      <c r="AE109" s="1">
        <f t="shared" si="25"/>
        <v>0</v>
      </c>
      <c r="AI109" s="1">
        <f t="shared" si="23"/>
        <v>2022</v>
      </c>
    </row>
    <row r="110" s="1" customFormat="1" hidden="1" spans="2:35">
      <c r="B110" t="s">
        <v>357</v>
      </c>
      <c r="C110" t="s">
        <v>358</v>
      </c>
      <c r="D110"/>
      <c r="E110" t="s">
        <v>359</v>
      </c>
      <c r="I110" s="14"/>
      <c r="J110" s="15" t="s">
        <v>52</v>
      </c>
      <c r="K110" s="14"/>
      <c r="L110" s="17">
        <v>57000</v>
      </c>
      <c r="M110" s="1">
        <v>2</v>
      </c>
      <c r="N110" s="1">
        <v>7541</v>
      </c>
      <c r="O110" s="1">
        <v>37</v>
      </c>
      <c r="P110" s="1" t="s">
        <v>52</v>
      </c>
      <c r="Q110" s="1">
        <v>269.48</v>
      </c>
      <c r="R110" s="1">
        <v>0.189753</v>
      </c>
      <c r="S110" s="1" t="s">
        <v>52</v>
      </c>
      <c r="T110" s="1" t="s">
        <v>360</v>
      </c>
      <c r="U110" s="24"/>
      <c r="Y110" s="26"/>
      <c r="Z110" s="19">
        <v>1677</v>
      </c>
      <c r="AA110" s="19">
        <v>5000</v>
      </c>
      <c r="AC110" s="1">
        <f t="shared" si="26"/>
        <v>2022</v>
      </c>
      <c r="AD110" s="1" t="s">
        <v>52</v>
      </c>
      <c r="AE110" s="1">
        <f t="shared" si="25"/>
        <v>0</v>
      </c>
      <c r="AI110" s="1">
        <f t="shared" si="23"/>
        <v>2022</v>
      </c>
    </row>
    <row r="111" s="1" customFormat="1" hidden="1" spans="2:35">
      <c r="B111" t="s">
        <v>361</v>
      </c>
      <c r="C111" t="s">
        <v>362</v>
      </c>
      <c r="D111"/>
      <c r="E111" t="s">
        <v>359</v>
      </c>
      <c r="I111" s="14"/>
      <c r="J111" s="15" t="s">
        <v>52</v>
      </c>
      <c r="K111" s="14"/>
      <c r="L111" s="17">
        <v>57000</v>
      </c>
      <c r="M111" s="1">
        <v>2</v>
      </c>
      <c r="N111" s="1">
        <v>7541</v>
      </c>
      <c r="O111" s="1">
        <v>37</v>
      </c>
      <c r="P111" s="1" t="s">
        <v>52</v>
      </c>
      <c r="Q111" s="1">
        <v>269.48</v>
      </c>
      <c r="R111" s="1">
        <v>0.189753</v>
      </c>
      <c r="S111" s="1" t="s">
        <v>52</v>
      </c>
      <c r="T111" s="1" t="s">
        <v>360</v>
      </c>
      <c r="U111" s="24"/>
      <c r="Y111" s="26"/>
      <c r="Z111" s="19">
        <v>1677</v>
      </c>
      <c r="AA111" s="19">
        <v>5000</v>
      </c>
      <c r="AC111" s="1">
        <f t="shared" si="26"/>
        <v>2022</v>
      </c>
      <c r="AD111" s="1" t="s">
        <v>52</v>
      </c>
      <c r="AE111" s="1">
        <f t="shared" si="25"/>
        <v>0</v>
      </c>
      <c r="AI111" s="1">
        <f t="shared" si="23"/>
        <v>2022</v>
      </c>
    </row>
    <row r="112" s="1" customFormat="1" hidden="1" spans="2:35">
      <c r="B112" t="s">
        <v>363</v>
      </c>
      <c r="C112" t="s">
        <v>364</v>
      </c>
      <c r="D112"/>
      <c r="E112" t="s">
        <v>359</v>
      </c>
      <c r="I112" s="14"/>
      <c r="J112" s="15" t="s">
        <v>52</v>
      </c>
      <c r="K112" s="14"/>
      <c r="L112" s="17">
        <v>57000</v>
      </c>
      <c r="M112" s="1">
        <v>2</v>
      </c>
      <c r="N112" s="1">
        <v>7541</v>
      </c>
      <c r="O112" s="1">
        <v>37</v>
      </c>
      <c r="P112" s="1" t="s">
        <v>52</v>
      </c>
      <c r="Q112" s="1">
        <v>269.48</v>
      </c>
      <c r="R112" s="1">
        <v>0.189753</v>
      </c>
      <c r="S112" s="1" t="s">
        <v>52</v>
      </c>
      <c r="T112" s="1" t="s">
        <v>360</v>
      </c>
      <c r="U112" s="24"/>
      <c r="Y112" s="26"/>
      <c r="Z112" s="19">
        <v>1677</v>
      </c>
      <c r="AA112" s="19">
        <v>5000</v>
      </c>
      <c r="AC112" s="1">
        <f t="shared" si="26"/>
        <v>2022</v>
      </c>
      <c r="AD112" s="1" t="s">
        <v>52</v>
      </c>
      <c r="AE112" s="1">
        <f t="shared" si="25"/>
        <v>0</v>
      </c>
      <c r="AI112" s="1">
        <f t="shared" si="23"/>
        <v>2022</v>
      </c>
    </row>
    <row r="113" s="1" customFormat="1" hidden="1" spans="2:35">
      <c r="B113" t="s">
        <v>365</v>
      </c>
      <c r="C113" t="s">
        <v>366</v>
      </c>
      <c r="D113"/>
      <c r="E113" t="s">
        <v>359</v>
      </c>
      <c r="I113" s="14"/>
      <c r="J113" s="15" t="s">
        <v>52</v>
      </c>
      <c r="K113" s="14"/>
      <c r="L113" s="17">
        <v>57000</v>
      </c>
      <c r="M113" s="1">
        <v>2</v>
      </c>
      <c r="N113" s="1">
        <v>7541</v>
      </c>
      <c r="O113" s="1">
        <v>37</v>
      </c>
      <c r="P113" s="1" t="s">
        <v>52</v>
      </c>
      <c r="Q113" s="1">
        <v>269.48</v>
      </c>
      <c r="R113" s="1">
        <v>0.189753</v>
      </c>
      <c r="S113" s="1" t="s">
        <v>52</v>
      </c>
      <c r="T113" s="1" t="s">
        <v>360</v>
      </c>
      <c r="U113" s="24"/>
      <c r="Y113" s="26"/>
      <c r="Z113" s="19">
        <v>1677</v>
      </c>
      <c r="AA113" s="19">
        <v>5000</v>
      </c>
      <c r="AC113" s="1">
        <f t="shared" si="26"/>
        <v>2022</v>
      </c>
      <c r="AD113" s="1" t="s">
        <v>52</v>
      </c>
      <c r="AE113" s="1">
        <f t="shared" si="25"/>
        <v>0</v>
      </c>
      <c r="AI113" s="1">
        <f t="shared" si="23"/>
        <v>2022</v>
      </c>
    </row>
    <row r="114" s="1" customFormat="1" hidden="1" spans="2:35">
      <c r="B114" t="s">
        <v>367</v>
      </c>
      <c r="C114" t="s">
        <v>368</v>
      </c>
      <c r="D114"/>
      <c r="E114" t="s">
        <v>369</v>
      </c>
      <c r="I114" s="14"/>
      <c r="J114" s="15" t="s">
        <v>52</v>
      </c>
      <c r="K114" s="14"/>
      <c r="L114" s="17">
        <v>57000</v>
      </c>
      <c r="M114" s="1">
        <v>2</v>
      </c>
      <c r="N114" s="1">
        <v>7541</v>
      </c>
      <c r="O114" s="1">
        <v>37</v>
      </c>
      <c r="P114" s="1" t="s">
        <v>52</v>
      </c>
      <c r="Q114" s="1">
        <v>269.48</v>
      </c>
      <c r="R114" s="1">
        <v>0.189753</v>
      </c>
      <c r="S114" s="1" t="s">
        <v>52</v>
      </c>
      <c r="T114" s="1" t="s">
        <v>370</v>
      </c>
      <c r="U114" s="24"/>
      <c r="Y114" s="26"/>
      <c r="Z114" s="19">
        <v>800</v>
      </c>
      <c r="AA114" s="19">
        <v>2500</v>
      </c>
      <c r="AC114" s="1">
        <f t="shared" si="26"/>
        <v>2022</v>
      </c>
      <c r="AD114" s="1" t="s">
        <v>52</v>
      </c>
      <c r="AE114" s="1">
        <f t="shared" si="25"/>
        <v>0</v>
      </c>
      <c r="AI114" s="1">
        <f t="shared" si="23"/>
        <v>2022</v>
      </c>
    </row>
    <row r="115" s="1" customFormat="1" hidden="1" spans="2:35">
      <c r="B115" t="s">
        <v>371</v>
      </c>
      <c r="C115" t="s">
        <v>372</v>
      </c>
      <c r="D115"/>
      <c r="E115" t="s">
        <v>373</v>
      </c>
      <c r="I115" s="14"/>
      <c r="J115" s="15" t="s">
        <v>52</v>
      </c>
      <c r="K115" s="14"/>
      <c r="L115" s="17">
        <v>57000</v>
      </c>
      <c r="M115" s="1">
        <v>2</v>
      </c>
      <c r="N115" s="1">
        <v>7541</v>
      </c>
      <c r="O115" s="1">
        <v>37</v>
      </c>
      <c r="P115" s="1" t="s">
        <v>52</v>
      </c>
      <c r="Q115" s="1">
        <v>269.48</v>
      </c>
      <c r="R115" s="1">
        <v>0.189753</v>
      </c>
      <c r="S115" s="1" t="s">
        <v>52</v>
      </c>
      <c r="T115" s="1" t="s">
        <v>374</v>
      </c>
      <c r="U115" s="24"/>
      <c r="AC115" s="1">
        <f t="shared" si="26"/>
        <v>2022</v>
      </c>
      <c r="AD115" s="1" t="s">
        <v>52</v>
      </c>
      <c r="AE115" s="1">
        <f t="shared" si="25"/>
        <v>0</v>
      </c>
      <c r="AI115" s="1">
        <f t="shared" si="23"/>
        <v>2022</v>
      </c>
    </row>
    <row r="116" s="1" customFormat="1" hidden="1" spans="2:35">
      <c r="B116" t="s">
        <v>375</v>
      </c>
      <c r="C116" t="s">
        <v>376</v>
      </c>
      <c r="D116"/>
      <c r="E116" t="s">
        <v>377</v>
      </c>
      <c r="I116" s="14"/>
      <c r="J116" s="15" t="s">
        <v>52</v>
      </c>
      <c r="K116" s="14"/>
      <c r="L116" s="17">
        <v>57000</v>
      </c>
      <c r="M116" s="1">
        <v>2</v>
      </c>
      <c r="N116" s="1">
        <v>7541</v>
      </c>
      <c r="O116" s="1">
        <v>37</v>
      </c>
      <c r="P116" s="1" t="s">
        <v>52</v>
      </c>
      <c r="Q116" s="1">
        <v>269.48</v>
      </c>
      <c r="R116" s="1">
        <v>0.189753</v>
      </c>
      <c r="S116" s="1" t="s">
        <v>52</v>
      </c>
      <c r="T116" s="1" t="s">
        <v>378</v>
      </c>
      <c r="U116" s="24"/>
      <c r="AC116" s="1">
        <f t="shared" si="26"/>
        <v>2022</v>
      </c>
      <c r="AD116" s="1" t="s">
        <v>52</v>
      </c>
      <c r="AE116" s="1">
        <f t="shared" si="25"/>
        <v>0</v>
      </c>
      <c r="AI116" s="1">
        <f t="shared" si="23"/>
        <v>2022</v>
      </c>
    </row>
    <row r="117" s="2" customFormat="1" hidden="1" spans="1:53">
      <c r="A117" s="1"/>
      <c r="B117" t="s">
        <v>379</v>
      </c>
      <c r="C117" t="s">
        <v>380</v>
      </c>
      <c r="D117" s="10"/>
      <c r="E117" s="10" t="s">
        <v>381</v>
      </c>
      <c r="F117" s="1"/>
      <c r="G117" s="1"/>
      <c r="H117" s="1"/>
      <c r="I117" s="14"/>
      <c r="J117" s="15" t="s">
        <v>52</v>
      </c>
      <c r="K117" s="14"/>
      <c r="L117" s="17">
        <v>57000</v>
      </c>
      <c r="M117" s="1">
        <v>2</v>
      </c>
      <c r="N117" s="1">
        <v>7541</v>
      </c>
      <c r="O117" s="1">
        <v>37</v>
      </c>
      <c r="P117" s="1" t="s">
        <v>52</v>
      </c>
      <c r="Q117" s="1">
        <v>269.48</v>
      </c>
      <c r="R117" s="1">
        <v>0.189753</v>
      </c>
      <c r="S117" s="15" t="s">
        <v>154</v>
      </c>
      <c r="T117" s="1">
        <v>339.534</v>
      </c>
      <c r="U117" s="24"/>
      <c r="V117" s="1"/>
      <c r="W117" s="1"/>
      <c r="X117" s="1"/>
      <c r="Y117" s="26"/>
      <c r="Z117" s="19">
        <v>521</v>
      </c>
      <c r="AA117" s="19">
        <v>2158</v>
      </c>
      <c r="AB117" s="1"/>
      <c r="AC117" s="1">
        <f t="shared" si="26"/>
        <v>2022</v>
      </c>
      <c r="AD117" s="1" t="s">
        <v>154</v>
      </c>
      <c r="AE117" s="1">
        <f t="shared" si="25"/>
        <v>0</v>
      </c>
      <c r="AF117" s="26"/>
      <c r="AG117" s="19">
        <v>521</v>
      </c>
      <c r="AH117" s="26"/>
      <c r="AI117" s="1">
        <f t="shared" si="23"/>
        <v>2022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="2" customFormat="1" hidden="1" spans="1:53">
      <c r="A118" s="1"/>
      <c r="B118" t="s">
        <v>382</v>
      </c>
      <c r="C118" t="s">
        <v>383</v>
      </c>
      <c r="D118"/>
      <c r="E118" t="s">
        <v>384</v>
      </c>
      <c r="F118" s="1"/>
      <c r="G118" s="1"/>
      <c r="H118" s="1"/>
      <c r="I118" s="14"/>
      <c r="J118" s="15" t="s">
        <v>52</v>
      </c>
      <c r="K118" s="14"/>
      <c r="L118" s="17">
        <v>57000</v>
      </c>
      <c r="M118" s="1">
        <v>2</v>
      </c>
      <c r="N118" s="1">
        <v>7541</v>
      </c>
      <c r="O118" s="1">
        <v>37</v>
      </c>
      <c r="P118" s="1" t="s">
        <v>52</v>
      </c>
      <c r="Q118" s="1">
        <v>269.48</v>
      </c>
      <c r="R118" s="1">
        <v>0.189753</v>
      </c>
      <c r="S118" s="1" t="s">
        <v>52</v>
      </c>
      <c r="T118" s="1" t="s">
        <v>385</v>
      </c>
      <c r="U118" s="24"/>
      <c r="V118" s="1"/>
      <c r="W118" s="1"/>
      <c r="X118" s="1"/>
      <c r="Y118" s="1"/>
      <c r="Z118" s="1"/>
      <c r="AA118" s="1"/>
      <c r="AB118" s="1"/>
      <c r="AC118" s="1">
        <f t="shared" si="26"/>
        <v>2022</v>
      </c>
      <c r="AD118" s="1" t="s">
        <v>52</v>
      </c>
      <c r="AE118" s="1">
        <f t="shared" si="25"/>
        <v>0</v>
      </c>
      <c r="AF118" s="1"/>
      <c r="AG118" s="1"/>
      <c r="AH118" s="1"/>
      <c r="AI118" s="1">
        <f t="shared" si="23"/>
        <v>2022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="3" customFormat="1" hidden="1" spans="1:53">
      <c r="A119" s="1"/>
      <c r="B119" t="s">
        <v>386</v>
      </c>
      <c r="C119" t="s">
        <v>387</v>
      </c>
      <c r="D119"/>
      <c r="E119" t="s">
        <v>384</v>
      </c>
      <c r="F119" s="1"/>
      <c r="G119" s="1"/>
      <c r="H119" s="1"/>
      <c r="I119" s="14"/>
      <c r="J119" s="15" t="s">
        <v>52</v>
      </c>
      <c r="K119" s="14"/>
      <c r="L119" s="17">
        <v>57000</v>
      </c>
      <c r="M119" s="1">
        <v>2</v>
      </c>
      <c r="N119" s="1">
        <v>7541</v>
      </c>
      <c r="O119" s="1">
        <v>37</v>
      </c>
      <c r="P119" s="1" t="s">
        <v>52</v>
      </c>
      <c r="Q119" s="1">
        <v>269.48</v>
      </c>
      <c r="R119" s="1">
        <v>0.189753</v>
      </c>
      <c r="S119" s="1" t="s">
        <v>52</v>
      </c>
      <c r="T119" s="1" t="s">
        <v>385</v>
      </c>
      <c r="U119" s="24"/>
      <c r="V119" s="1"/>
      <c r="W119" s="1"/>
      <c r="X119" s="1"/>
      <c r="Y119" s="1"/>
      <c r="Z119" s="1"/>
      <c r="AA119" s="1"/>
      <c r="AB119" s="1"/>
      <c r="AC119" s="1">
        <f t="shared" si="26"/>
        <v>2022</v>
      </c>
      <c r="AD119" s="1" t="s">
        <v>52</v>
      </c>
      <c r="AE119" s="1">
        <f t="shared" si="25"/>
        <v>0</v>
      </c>
      <c r="AF119" s="1"/>
      <c r="AG119" s="1"/>
      <c r="AH119" s="1"/>
      <c r="AI119" s="1">
        <f t="shared" si="23"/>
        <v>2022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="3" customFormat="1" hidden="1" spans="1:53">
      <c r="A120" s="1"/>
      <c r="B120" t="s">
        <v>388</v>
      </c>
      <c r="C120" t="s">
        <v>389</v>
      </c>
      <c r="D120"/>
      <c r="E120" t="s">
        <v>384</v>
      </c>
      <c r="F120" s="1"/>
      <c r="G120" s="1"/>
      <c r="H120" s="1"/>
      <c r="I120" s="14"/>
      <c r="J120" s="15" t="s">
        <v>52</v>
      </c>
      <c r="K120" s="14"/>
      <c r="L120" s="17">
        <v>57000</v>
      </c>
      <c r="M120" s="1">
        <v>2</v>
      </c>
      <c r="N120" s="1">
        <v>7541</v>
      </c>
      <c r="O120" s="1">
        <v>37</v>
      </c>
      <c r="P120" s="1" t="s">
        <v>52</v>
      </c>
      <c r="Q120" s="1">
        <v>269.48</v>
      </c>
      <c r="R120" s="1">
        <v>0.189753</v>
      </c>
      <c r="S120" s="1" t="s">
        <v>52</v>
      </c>
      <c r="T120" s="1" t="s">
        <v>385</v>
      </c>
      <c r="U120" s="24"/>
      <c r="V120" s="1"/>
      <c r="W120" s="1"/>
      <c r="X120" s="1"/>
      <c r="Y120" s="1"/>
      <c r="Z120" s="1"/>
      <c r="AA120" s="1"/>
      <c r="AB120" s="1"/>
      <c r="AC120" s="1">
        <f t="shared" si="26"/>
        <v>2022</v>
      </c>
      <c r="AD120" s="1" t="s">
        <v>52</v>
      </c>
      <c r="AE120" s="1">
        <f t="shared" si="25"/>
        <v>0</v>
      </c>
      <c r="AF120" s="1"/>
      <c r="AG120" s="1"/>
      <c r="AH120" s="1"/>
      <c r="AI120" s="1">
        <f t="shared" si="23"/>
        <v>2022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="3" customFormat="1" hidden="1" spans="1:53">
      <c r="A121" s="1"/>
      <c r="B121" s="9" t="s">
        <v>390</v>
      </c>
      <c r="C121" s="9" t="s">
        <v>390</v>
      </c>
      <c r="E121" s="3" t="s">
        <v>391</v>
      </c>
      <c r="F121" s="1"/>
      <c r="G121" s="11">
        <v>0.003</v>
      </c>
      <c r="H121" s="1"/>
      <c r="I121" s="14"/>
      <c r="J121" s="15" t="s">
        <v>52</v>
      </c>
      <c r="K121" s="14"/>
      <c r="L121" s="17">
        <v>1547000</v>
      </c>
      <c r="M121" s="1">
        <v>2</v>
      </c>
      <c r="N121" s="1">
        <v>7541</v>
      </c>
      <c r="O121" s="1">
        <v>37</v>
      </c>
      <c r="P121" s="1" t="s">
        <v>52</v>
      </c>
      <c r="Q121" s="1">
        <v>269.48</v>
      </c>
      <c r="R121" s="1">
        <v>0.189753</v>
      </c>
      <c r="S121" s="1"/>
      <c r="T121" s="1"/>
      <c r="U121" s="24"/>
      <c r="V121" s="1"/>
      <c r="W121" s="1"/>
      <c r="X121" s="1"/>
      <c r="Y121" s="1"/>
      <c r="Z121" s="1"/>
      <c r="AA121" s="1"/>
      <c r="AB121" s="1"/>
      <c r="AC121" s="1">
        <f t="shared" si="26"/>
        <v>2022</v>
      </c>
      <c r="AD121" s="1" t="s">
        <v>52</v>
      </c>
      <c r="AE121" s="1">
        <f t="shared" si="25"/>
        <v>0</v>
      </c>
      <c r="AF121" s="1"/>
      <c r="AG121" s="1"/>
      <c r="AH121" s="1"/>
      <c r="AI121" s="1">
        <f t="shared" si="23"/>
        <v>2022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="3" customFormat="1" hidden="1" spans="1:53">
      <c r="A122" s="1"/>
      <c r="B122" t="s">
        <v>392</v>
      </c>
      <c r="C122" t="s">
        <v>393</v>
      </c>
      <c r="D122" s="10"/>
      <c r="E122" s="10" t="s">
        <v>394</v>
      </c>
      <c r="F122" s="1"/>
      <c r="G122" s="1"/>
      <c r="H122" s="1"/>
      <c r="I122" s="14"/>
      <c r="J122" s="15" t="s">
        <v>52</v>
      </c>
      <c r="K122" s="14"/>
      <c r="L122" s="17">
        <v>57000</v>
      </c>
      <c r="M122" s="1">
        <v>2</v>
      </c>
      <c r="N122" s="1">
        <v>7541</v>
      </c>
      <c r="O122" s="1">
        <v>37</v>
      </c>
      <c r="P122" s="1" t="s">
        <v>52</v>
      </c>
      <c r="Q122" s="1">
        <v>269.48</v>
      </c>
      <c r="R122" s="1">
        <v>0.189753</v>
      </c>
      <c r="S122" s="1" t="s">
        <v>52</v>
      </c>
      <c r="T122" s="1" t="s">
        <v>395</v>
      </c>
      <c r="U122" s="24"/>
      <c r="V122" s="1"/>
      <c r="W122" s="1"/>
      <c r="X122" s="1"/>
      <c r="Y122" s="26"/>
      <c r="Z122" s="19">
        <v>428</v>
      </c>
      <c r="AA122" s="19">
        <v>4673</v>
      </c>
      <c r="AB122" s="27">
        <v>1978</v>
      </c>
      <c r="AC122" s="1">
        <f t="shared" si="26"/>
        <v>44</v>
      </c>
      <c r="AD122" s="1"/>
      <c r="AE122" s="1">
        <f t="shared" si="25"/>
        <v>0</v>
      </c>
      <c r="AF122" s="1"/>
      <c r="AG122" s="1"/>
      <c r="AH122" s="1"/>
      <c r="AI122" s="1">
        <f t="shared" si="23"/>
        <v>2022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="3" customFormat="1" hidden="1" spans="1:53">
      <c r="A123" s="1"/>
      <c r="B123" t="s">
        <v>396</v>
      </c>
      <c r="C123" t="s">
        <v>397</v>
      </c>
      <c r="D123"/>
      <c r="E123" t="s">
        <v>398</v>
      </c>
      <c r="F123" s="1"/>
      <c r="G123" s="1"/>
      <c r="H123" s="1"/>
      <c r="I123" s="14"/>
      <c r="J123" s="15" t="s">
        <v>52</v>
      </c>
      <c r="K123" s="14"/>
      <c r="L123" s="17">
        <v>57000</v>
      </c>
      <c r="M123" s="1">
        <v>2</v>
      </c>
      <c r="N123" s="1">
        <v>7541</v>
      </c>
      <c r="O123" s="1">
        <v>37</v>
      </c>
      <c r="P123" s="1" t="s">
        <v>52</v>
      </c>
      <c r="Q123" s="1">
        <v>269.48</v>
      </c>
      <c r="R123" s="1">
        <v>0.189753</v>
      </c>
      <c r="S123" s="1" t="s">
        <v>52</v>
      </c>
      <c r="T123" s="1" t="s">
        <v>399</v>
      </c>
      <c r="U123" s="24"/>
      <c r="V123" s="1"/>
      <c r="W123" s="1"/>
      <c r="X123" s="1"/>
      <c r="Y123" s="26"/>
      <c r="Z123" s="19">
        <v>250</v>
      </c>
      <c r="AA123" s="19">
        <v>3333</v>
      </c>
      <c r="AB123" s="1"/>
      <c r="AC123" s="1">
        <f t="shared" si="26"/>
        <v>2022</v>
      </c>
      <c r="AD123" s="1" t="s">
        <v>52</v>
      </c>
      <c r="AE123" s="1">
        <f t="shared" si="25"/>
        <v>0</v>
      </c>
      <c r="AF123" s="1"/>
      <c r="AG123" s="1"/>
      <c r="AH123" s="1"/>
      <c r="AI123" s="1">
        <f t="shared" si="23"/>
        <v>2022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="2" customFormat="1" hidden="1" spans="1:53">
      <c r="A124" s="1"/>
      <c r="B124" t="s">
        <v>400</v>
      </c>
      <c r="C124" t="s">
        <v>401</v>
      </c>
      <c r="D124"/>
      <c r="E124" t="s">
        <v>398</v>
      </c>
      <c r="F124" s="1"/>
      <c r="G124" s="1"/>
      <c r="H124" s="1"/>
      <c r="I124" s="14"/>
      <c r="J124" s="15" t="s">
        <v>52</v>
      </c>
      <c r="K124" s="14"/>
      <c r="L124" s="17">
        <v>57000</v>
      </c>
      <c r="M124" s="1">
        <v>2</v>
      </c>
      <c r="N124" s="1">
        <v>7541</v>
      </c>
      <c r="O124" s="1">
        <v>37</v>
      </c>
      <c r="P124" s="1" t="s">
        <v>52</v>
      </c>
      <c r="Q124" s="1">
        <v>269.48</v>
      </c>
      <c r="R124" s="1">
        <v>0.189753</v>
      </c>
      <c r="S124" s="1" t="s">
        <v>52</v>
      </c>
      <c r="T124" s="1" t="s">
        <v>399</v>
      </c>
      <c r="U124" s="24"/>
      <c r="V124" s="1"/>
      <c r="W124" s="1"/>
      <c r="X124" s="1"/>
      <c r="Y124" s="26"/>
      <c r="Z124" s="19">
        <v>250</v>
      </c>
      <c r="AA124" s="19">
        <v>3333</v>
      </c>
      <c r="AB124" s="1"/>
      <c r="AC124" s="1">
        <f t="shared" si="26"/>
        <v>2022</v>
      </c>
      <c r="AD124" s="1" t="s">
        <v>52</v>
      </c>
      <c r="AE124" s="1">
        <f t="shared" si="25"/>
        <v>0</v>
      </c>
      <c r="AF124" s="1"/>
      <c r="AG124" s="1"/>
      <c r="AH124" s="1"/>
      <c r="AI124" s="1">
        <f t="shared" si="23"/>
        <v>2022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="3" customFormat="1" hidden="1" spans="1:53">
      <c r="A125" s="1"/>
      <c r="B125" t="s">
        <v>402</v>
      </c>
      <c r="C125" t="s">
        <v>403</v>
      </c>
      <c r="D125" s="10"/>
      <c r="E125" s="10" t="s">
        <v>404</v>
      </c>
      <c r="F125" s="1"/>
      <c r="G125" s="1"/>
      <c r="H125" s="1"/>
      <c r="I125" s="14"/>
      <c r="J125" s="15" t="s">
        <v>52</v>
      </c>
      <c r="K125" s="14"/>
      <c r="L125" s="17">
        <v>57000</v>
      </c>
      <c r="M125" s="1">
        <v>2</v>
      </c>
      <c r="N125" s="1">
        <v>7541</v>
      </c>
      <c r="O125" s="1">
        <v>37</v>
      </c>
      <c r="P125" s="1" t="s">
        <v>52</v>
      </c>
      <c r="Q125" s="1">
        <v>269.48</v>
      </c>
      <c r="R125" s="1">
        <v>0.189753</v>
      </c>
      <c r="S125" s="1"/>
      <c r="T125" s="1"/>
      <c r="U125" s="24"/>
      <c r="V125" s="1"/>
      <c r="W125" s="1"/>
      <c r="X125" s="1"/>
      <c r="Y125" s="26"/>
      <c r="Z125" s="19">
        <v>160</v>
      </c>
      <c r="AA125" s="19">
        <v>3086</v>
      </c>
      <c r="AB125" s="1"/>
      <c r="AC125" s="1">
        <f t="shared" si="26"/>
        <v>2022</v>
      </c>
      <c r="AD125" s="1"/>
      <c r="AE125" s="1">
        <f t="shared" si="25"/>
        <v>0</v>
      </c>
      <c r="AF125" s="26"/>
      <c r="AG125" s="19">
        <v>160</v>
      </c>
      <c r="AH125" s="26"/>
      <c r="AI125" s="1">
        <f t="shared" si="23"/>
        <v>2022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="3" customFormat="1" hidden="1" spans="1:53">
      <c r="A126" s="1"/>
      <c r="B126" t="s">
        <v>405</v>
      </c>
      <c r="C126" t="s">
        <v>406</v>
      </c>
      <c r="D126"/>
      <c r="E126" t="s">
        <v>407</v>
      </c>
      <c r="F126" s="1"/>
      <c r="G126" s="1"/>
      <c r="H126" s="1"/>
      <c r="I126" s="14"/>
      <c r="J126" s="15" t="s">
        <v>52</v>
      </c>
      <c r="K126" s="14"/>
      <c r="L126" s="17">
        <v>57000</v>
      </c>
      <c r="M126" s="1">
        <v>2</v>
      </c>
      <c r="N126" s="1">
        <v>7541</v>
      </c>
      <c r="O126" s="1">
        <v>37</v>
      </c>
      <c r="P126" s="1" t="s">
        <v>52</v>
      </c>
      <c r="Q126" s="1">
        <v>269.48</v>
      </c>
      <c r="R126" s="1">
        <v>0.189753</v>
      </c>
      <c r="S126" s="1" t="s">
        <v>52</v>
      </c>
      <c r="T126" s="1" t="s">
        <v>408</v>
      </c>
      <c r="U126" s="24"/>
      <c r="V126" s="1"/>
      <c r="W126" s="1"/>
      <c r="X126" s="1"/>
      <c r="Y126" s="26"/>
      <c r="Z126" s="19">
        <v>175</v>
      </c>
      <c r="AA126" s="19">
        <v>3300</v>
      </c>
      <c r="AB126" s="1"/>
      <c r="AC126" s="1">
        <f t="shared" si="26"/>
        <v>2022</v>
      </c>
      <c r="AD126" s="1" t="s">
        <v>52</v>
      </c>
      <c r="AE126" s="1">
        <f t="shared" si="25"/>
        <v>0</v>
      </c>
      <c r="AF126" s="1"/>
      <c r="AG126" s="1"/>
      <c r="AH126" s="1"/>
      <c r="AI126" s="1">
        <f t="shared" si="23"/>
        <v>2022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="3" customFormat="1" hidden="1" spans="1:53">
      <c r="A127" s="1"/>
      <c r="B127" t="s">
        <v>409</v>
      </c>
      <c r="C127" t="s">
        <v>410</v>
      </c>
      <c r="D127"/>
      <c r="E127" t="s">
        <v>407</v>
      </c>
      <c r="F127" s="1"/>
      <c r="G127" s="1"/>
      <c r="H127" s="1"/>
      <c r="I127" s="14"/>
      <c r="J127" s="15" t="s">
        <v>52</v>
      </c>
      <c r="K127" s="14"/>
      <c r="L127" s="17">
        <v>57000</v>
      </c>
      <c r="M127" s="1">
        <v>2</v>
      </c>
      <c r="N127" s="1">
        <v>7541</v>
      </c>
      <c r="O127" s="1">
        <v>37</v>
      </c>
      <c r="P127" s="1" t="s">
        <v>52</v>
      </c>
      <c r="Q127" s="1">
        <v>269.48</v>
      </c>
      <c r="R127" s="1">
        <v>0.189753</v>
      </c>
      <c r="S127" s="1" t="s">
        <v>52</v>
      </c>
      <c r="T127" s="1" t="s">
        <v>408</v>
      </c>
      <c r="U127" s="24"/>
      <c r="V127" s="1"/>
      <c r="W127" s="1"/>
      <c r="X127" s="1"/>
      <c r="Y127" s="26"/>
      <c r="Z127" s="19">
        <v>175</v>
      </c>
      <c r="AA127" s="19">
        <v>3300</v>
      </c>
      <c r="AB127" s="1"/>
      <c r="AC127" s="1">
        <f t="shared" si="26"/>
        <v>2022</v>
      </c>
      <c r="AD127" s="1" t="s">
        <v>52</v>
      </c>
      <c r="AE127" s="1">
        <f t="shared" si="25"/>
        <v>0</v>
      </c>
      <c r="AF127" s="1"/>
      <c r="AG127" s="1"/>
      <c r="AH127" s="1"/>
      <c r="AI127" s="1">
        <f t="shared" si="23"/>
        <v>2022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>
        <v>19.8</v>
      </c>
      <c r="AX127" s="1"/>
      <c r="AY127" s="1"/>
      <c r="AZ127" s="1"/>
      <c r="BA127" s="1"/>
    </row>
    <row r="128" s="3" customFormat="1" hidden="1" spans="1:53">
      <c r="A128"/>
      <c r="B128" t="s">
        <v>411</v>
      </c>
      <c r="C128" t="s">
        <v>412</v>
      </c>
      <c r="D128"/>
      <c r="E128" t="s">
        <v>411</v>
      </c>
      <c r="F128"/>
      <c r="G128"/>
      <c r="H128"/>
      <c r="I128" s="14"/>
      <c r="J128" s="15" t="s">
        <v>52</v>
      </c>
      <c r="K128" s="14"/>
      <c r="L128" s="16">
        <v>57000</v>
      </c>
      <c r="M128">
        <v>2</v>
      </c>
      <c r="N128">
        <v>7541</v>
      </c>
      <c r="O128">
        <v>37</v>
      </c>
      <c r="P128" t="s">
        <v>52</v>
      </c>
      <c r="Q128">
        <v>269.48</v>
      </c>
      <c r="R128">
        <v>0.189753</v>
      </c>
      <c r="S128" t="s">
        <v>52</v>
      </c>
      <c r="T128" t="s">
        <v>413</v>
      </c>
      <c r="U128" s="4"/>
      <c r="V128"/>
      <c r="W128"/>
      <c r="X128"/>
      <c r="Y128"/>
      <c r="Z128"/>
      <c r="AA128"/>
      <c r="AB128" s="5"/>
      <c r="AC128">
        <f t="shared" si="26"/>
        <v>2022</v>
      </c>
      <c r="AD128" t="s">
        <v>52</v>
      </c>
      <c r="AE128" t="s">
        <v>413</v>
      </c>
      <c r="AF128"/>
      <c r="AG128"/>
      <c r="AH128" s="5"/>
      <c r="AI128">
        <f t="shared" si="23"/>
        <v>2022</v>
      </c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 s="1"/>
      <c r="AZ128" s="1"/>
      <c r="BA128"/>
    </row>
    <row r="129" s="3" customFormat="1" hidden="1" spans="2:52">
      <c r="B129" s="9" t="s">
        <v>414</v>
      </c>
      <c r="C129" s="9" t="s">
        <v>414</v>
      </c>
      <c r="I129" s="14"/>
      <c r="J129" s="15" t="s">
        <v>52</v>
      </c>
      <c r="K129" s="14"/>
      <c r="L129" s="16">
        <v>1547000</v>
      </c>
      <c r="M129">
        <v>2</v>
      </c>
      <c r="N129">
        <v>7541</v>
      </c>
      <c r="O129">
        <v>37</v>
      </c>
      <c r="P129" t="s">
        <v>52</v>
      </c>
      <c r="Q129">
        <v>269.48</v>
      </c>
      <c r="R129">
        <v>0.189753</v>
      </c>
      <c r="U129" s="36"/>
      <c r="AB129" s="5"/>
      <c r="AC129">
        <f t="shared" si="26"/>
        <v>2022</v>
      </c>
      <c r="AH129" s="5"/>
      <c r="AI129">
        <f t="shared" si="23"/>
        <v>2022</v>
      </c>
      <c r="AY129" s="1"/>
      <c r="AZ129" s="1"/>
    </row>
    <row r="130" s="3" customFormat="1" hidden="1" spans="2:52">
      <c r="B130" s="9" t="s">
        <v>415</v>
      </c>
      <c r="C130" s="9" t="s">
        <v>415</v>
      </c>
      <c r="I130" s="14"/>
      <c r="J130" s="15" t="s">
        <v>52</v>
      </c>
      <c r="K130" s="14"/>
      <c r="L130" s="16">
        <v>1547000</v>
      </c>
      <c r="M130">
        <v>2</v>
      </c>
      <c r="N130">
        <v>7541</v>
      </c>
      <c r="O130">
        <v>37</v>
      </c>
      <c r="P130" t="s">
        <v>52</v>
      </c>
      <c r="Q130">
        <v>269.48</v>
      </c>
      <c r="R130">
        <v>0.189753</v>
      </c>
      <c r="U130" s="36"/>
      <c r="AB130" s="5"/>
      <c r="AC130">
        <f t="shared" si="26"/>
        <v>2022</v>
      </c>
      <c r="AH130" s="5"/>
      <c r="AI130">
        <f t="shared" si="23"/>
        <v>2022</v>
      </c>
      <c r="AY130" s="1"/>
      <c r="AZ130" s="1"/>
    </row>
    <row r="131" s="3" customFormat="1" hidden="1" spans="2:52">
      <c r="B131" s="9" t="s">
        <v>416</v>
      </c>
      <c r="C131" s="9" t="s">
        <v>416</v>
      </c>
      <c r="I131" s="14"/>
      <c r="J131" s="15" t="s">
        <v>52</v>
      </c>
      <c r="K131" s="14"/>
      <c r="L131" s="16">
        <v>1547000</v>
      </c>
      <c r="M131">
        <v>2</v>
      </c>
      <c r="N131">
        <v>7541</v>
      </c>
      <c r="O131">
        <v>37</v>
      </c>
      <c r="P131" t="s">
        <v>52</v>
      </c>
      <c r="Q131">
        <v>269.48</v>
      </c>
      <c r="R131">
        <v>0.189753</v>
      </c>
      <c r="U131" s="36"/>
      <c r="AB131" s="5"/>
      <c r="AC131">
        <f t="shared" si="26"/>
        <v>2022</v>
      </c>
      <c r="AH131" s="5"/>
      <c r="AI131">
        <f t="shared" ref="AI131:AI174" si="27">2022-AH131</f>
        <v>2022</v>
      </c>
      <c r="AY131" s="1"/>
      <c r="AZ131" s="1"/>
    </row>
    <row r="132" s="3" customFormat="1" hidden="1" spans="2:52">
      <c r="B132" s="9" t="s">
        <v>417</v>
      </c>
      <c r="C132" s="9" t="s">
        <v>417</v>
      </c>
      <c r="I132" s="14"/>
      <c r="J132" s="15" t="s">
        <v>52</v>
      </c>
      <c r="K132" s="14"/>
      <c r="L132" s="16">
        <v>1547000</v>
      </c>
      <c r="M132">
        <v>2</v>
      </c>
      <c r="N132">
        <v>7541</v>
      </c>
      <c r="O132">
        <v>37</v>
      </c>
      <c r="P132" t="s">
        <v>52</v>
      </c>
      <c r="Q132">
        <v>269.48</v>
      </c>
      <c r="R132">
        <v>0.189753</v>
      </c>
      <c r="U132" s="36"/>
      <c r="AB132" s="5"/>
      <c r="AC132">
        <f t="shared" si="26"/>
        <v>2022</v>
      </c>
      <c r="AH132" s="5"/>
      <c r="AI132">
        <f t="shared" si="27"/>
        <v>2022</v>
      </c>
      <c r="AY132" s="1"/>
      <c r="AZ132" s="1"/>
    </row>
    <row r="133" s="3" customFormat="1" hidden="1" spans="2:52">
      <c r="B133" s="9" t="s">
        <v>418</v>
      </c>
      <c r="C133" s="9" t="s">
        <v>418</v>
      </c>
      <c r="I133" s="14"/>
      <c r="J133" s="15" t="s">
        <v>52</v>
      </c>
      <c r="K133" s="14"/>
      <c r="L133" s="16">
        <v>1547000</v>
      </c>
      <c r="M133">
        <v>2</v>
      </c>
      <c r="N133">
        <v>7541</v>
      </c>
      <c r="O133">
        <v>37</v>
      </c>
      <c r="P133" t="s">
        <v>52</v>
      </c>
      <c r="Q133">
        <v>269.48</v>
      </c>
      <c r="R133">
        <v>0.189753</v>
      </c>
      <c r="U133" s="36"/>
      <c r="AB133" s="5"/>
      <c r="AC133">
        <f t="shared" si="26"/>
        <v>2022</v>
      </c>
      <c r="AH133" s="5"/>
      <c r="AI133">
        <f t="shared" si="27"/>
        <v>2022</v>
      </c>
      <c r="AY133" s="1"/>
      <c r="AZ133" s="1"/>
    </row>
    <row r="134" s="3" customFormat="1" hidden="1" spans="2:52">
      <c r="B134" s="9" t="s">
        <v>419</v>
      </c>
      <c r="C134" s="9" t="s">
        <v>419</v>
      </c>
      <c r="I134" s="14"/>
      <c r="J134" s="15" t="s">
        <v>52</v>
      </c>
      <c r="K134" s="14"/>
      <c r="L134" s="16">
        <v>1547000</v>
      </c>
      <c r="M134">
        <v>2</v>
      </c>
      <c r="N134">
        <v>7541</v>
      </c>
      <c r="O134">
        <v>37</v>
      </c>
      <c r="P134" t="s">
        <v>52</v>
      </c>
      <c r="Q134">
        <v>269.48</v>
      </c>
      <c r="R134">
        <v>0.189753</v>
      </c>
      <c r="U134" s="36"/>
      <c r="AB134" s="5"/>
      <c r="AC134">
        <f t="shared" si="26"/>
        <v>2022</v>
      </c>
      <c r="AH134" s="5"/>
      <c r="AI134">
        <f t="shared" si="27"/>
        <v>2022</v>
      </c>
      <c r="AY134" s="1"/>
      <c r="AZ134" s="1"/>
    </row>
    <row r="135" s="3" customFormat="1" hidden="1" spans="2:52">
      <c r="B135" s="9" t="s">
        <v>420</v>
      </c>
      <c r="C135" s="9" t="s">
        <v>420</v>
      </c>
      <c r="I135" s="14"/>
      <c r="J135" s="15" t="s">
        <v>52</v>
      </c>
      <c r="K135" s="14"/>
      <c r="L135" s="16">
        <v>1547000</v>
      </c>
      <c r="M135">
        <v>2</v>
      </c>
      <c r="N135">
        <v>7541</v>
      </c>
      <c r="O135">
        <v>37</v>
      </c>
      <c r="P135" t="s">
        <v>52</v>
      </c>
      <c r="Q135">
        <v>269.48</v>
      </c>
      <c r="R135">
        <v>0.189753</v>
      </c>
      <c r="U135" s="36"/>
      <c r="AB135" s="5"/>
      <c r="AC135">
        <f t="shared" si="26"/>
        <v>2022</v>
      </c>
      <c r="AH135" s="5"/>
      <c r="AI135">
        <f t="shared" si="27"/>
        <v>2022</v>
      </c>
      <c r="AY135" s="1"/>
      <c r="AZ135" s="1"/>
    </row>
    <row r="136" s="3" customFormat="1" hidden="1" spans="2:52">
      <c r="B136" s="9" t="s">
        <v>421</v>
      </c>
      <c r="C136" s="9" t="s">
        <v>421</v>
      </c>
      <c r="I136" s="14"/>
      <c r="J136" s="15" t="s">
        <v>52</v>
      </c>
      <c r="K136" s="14"/>
      <c r="L136" s="16">
        <v>1547000</v>
      </c>
      <c r="M136">
        <v>2</v>
      </c>
      <c r="N136">
        <v>7541</v>
      </c>
      <c r="O136">
        <v>37</v>
      </c>
      <c r="P136" t="s">
        <v>52</v>
      </c>
      <c r="Q136">
        <v>269.48</v>
      </c>
      <c r="R136">
        <v>0.189753</v>
      </c>
      <c r="U136" s="36"/>
      <c r="AB136" s="5"/>
      <c r="AC136">
        <f t="shared" si="26"/>
        <v>2022</v>
      </c>
      <c r="AH136" s="5"/>
      <c r="AI136">
        <f t="shared" si="27"/>
        <v>2022</v>
      </c>
      <c r="AY136" s="1"/>
      <c r="AZ136" s="1"/>
    </row>
    <row r="137" s="3" customFormat="1" hidden="1" spans="2:52">
      <c r="B137" s="9" t="s">
        <v>422</v>
      </c>
      <c r="C137" s="9" t="s">
        <v>422</v>
      </c>
      <c r="I137" s="14"/>
      <c r="J137" s="15" t="s">
        <v>52</v>
      </c>
      <c r="K137" s="14"/>
      <c r="L137" s="16">
        <v>1547000</v>
      </c>
      <c r="M137">
        <v>2</v>
      </c>
      <c r="N137">
        <v>7541</v>
      </c>
      <c r="O137">
        <v>37</v>
      </c>
      <c r="P137" t="s">
        <v>52</v>
      </c>
      <c r="Q137">
        <v>269.48</v>
      </c>
      <c r="R137">
        <v>0.189753</v>
      </c>
      <c r="U137" s="36"/>
      <c r="AB137" s="5"/>
      <c r="AC137">
        <f t="shared" si="26"/>
        <v>2022</v>
      </c>
      <c r="AH137" s="5"/>
      <c r="AI137">
        <f t="shared" si="27"/>
        <v>2022</v>
      </c>
      <c r="AY137" s="1"/>
      <c r="AZ137" s="1"/>
    </row>
    <row r="138" s="3" customFormat="1" hidden="1" spans="2:52">
      <c r="B138" s="9" t="s">
        <v>423</v>
      </c>
      <c r="C138" s="9" t="s">
        <v>423</v>
      </c>
      <c r="I138" s="14"/>
      <c r="J138" s="15" t="s">
        <v>52</v>
      </c>
      <c r="K138" s="14"/>
      <c r="L138" s="16">
        <v>1547000</v>
      </c>
      <c r="M138">
        <v>2</v>
      </c>
      <c r="N138">
        <v>7541</v>
      </c>
      <c r="O138">
        <v>37</v>
      </c>
      <c r="P138" t="s">
        <v>52</v>
      </c>
      <c r="Q138">
        <v>269.48</v>
      </c>
      <c r="R138">
        <v>0.189753</v>
      </c>
      <c r="U138" s="36"/>
      <c r="AB138" s="5"/>
      <c r="AC138">
        <f t="shared" si="26"/>
        <v>2022</v>
      </c>
      <c r="AH138" s="5"/>
      <c r="AI138">
        <f t="shared" si="27"/>
        <v>2022</v>
      </c>
      <c r="AY138" s="1"/>
      <c r="AZ138" s="1"/>
    </row>
    <row r="139" s="3" customFormat="1" hidden="1" spans="2:52">
      <c r="B139" s="9" t="s">
        <v>424</v>
      </c>
      <c r="C139" s="9" t="s">
        <v>424</v>
      </c>
      <c r="I139" s="14"/>
      <c r="J139" s="15" t="s">
        <v>52</v>
      </c>
      <c r="K139" s="14"/>
      <c r="L139" s="16">
        <v>1547000</v>
      </c>
      <c r="M139">
        <v>2</v>
      </c>
      <c r="N139">
        <v>7541</v>
      </c>
      <c r="O139">
        <v>37</v>
      </c>
      <c r="P139" t="s">
        <v>52</v>
      </c>
      <c r="Q139">
        <v>269.48</v>
      </c>
      <c r="R139">
        <v>0.189753</v>
      </c>
      <c r="U139" s="36"/>
      <c r="AB139" s="5"/>
      <c r="AC139">
        <f t="shared" si="26"/>
        <v>2022</v>
      </c>
      <c r="AH139" s="5"/>
      <c r="AI139">
        <f t="shared" si="27"/>
        <v>2022</v>
      </c>
      <c r="AY139" s="1"/>
      <c r="AZ139" s="1"/>
    </row>
    <row r="140" s="3" customFormat="1" hidden="1" spans="2:52">
      <c r="B140" s="9" t="s">
        <v>425</v>
      </c>
      <c r="C140" s="9" t="s">
        <v>425</v>
      </c>
      <c r="I140" s="14"/>
      <c r="J140" s="15" t="s">
        <v>52</v>
      </c>
      <c r="K140" s="14"/>
      <c r="L140" s="16">
        <v>1547000</v>
      </c>
      <c r="M140">
        <v>2</v>
      </c>
      <c r="N140">
        <v>7541</v>
      </c>
      <c r="O140">
        <v>37</v>
      </c>
      <c r="P140" t="s">
        <v>52</v>
      </c>
      <c r="Q140">
        <v>269.48</v>
      </c>
      <c r="R140">
        <v>0.189753</v>
      </c>
      <c r="U140" s="36"/>
      <c r="AB140" s="5"/>
      <c r="AC140">
        <f t="shared" si="26"/>
        <v>2022</v>
      </c>
      <c r="AH140" s="5"/>
      <c r="AI140">
        <f t="shared" si="27"/>
        <v>2022</v>
      </c>
      <c r="AY140" s="1"/>
      <c r="AZ140" s="1"/>
    </row>
    <row r="141" s="3" customFormat="1" hidden="1" spans="2:52">
      <c r="B141" s="9" t="s">
        <v>426</v>
      </c>
      <c r="C141" s="9" t="s">
        <v>426</v>
      </c>
      <c r="I141" s="14"/>
      <c r="J141" s="15" t="s">
        <v>52</v>
      </c>
      <c r="K141" s="14"/>
      <c r="L141" s="16">
        <v>1547000</v>
      </c>
      <c r="M141">
        <v>2</v>
      </c>
      <c r="N141">
        <v>7541</v>
      </c>
      <c r="O141">
        <v>37</v>
      </c>
      <c r="P141" t="s">
        <v>52</v>
      </c>
      <c r="Q141">
        <v>269.48</v>
      </c>
      <c r="R141">
        <v>0.189753</v>
      </c>
      <c r="U141" s="36"/>
      <c r="AB141" s="5"/>
      <c r="AC141">
        <f t="shared" si="26"/>
        <v>2022</v>
      </c>
      <c r="AH141" s="5"/>
      <c r="AI141">
        <f t="shared" si="27"/>
        <v>2022</v>
      </c>
      <c r="AY141" s="1"/>
      <c r="AZ141" s="1"/>
    </row>
    <row r="142" s="3" customFormat="1" hidden="1" spans="2:52">
      <c r="B142" s="9" t="s">
        <v>427</v>
      </c>
      <c r="C142" s="9" t="s">
        <v>427</v>
      </c>
      <c r="I142" s="14"/>
      <c r="J142" s="15" t="s">
        <v>52</v>
      </c>
      <c r="K142" s="14"/>
      <c r="L142" s="16">
        <v>1547000</v>
      </c>
      <c r="M142">
        <v>2</v>
      </c>
      <c r="N142">
        <v>7541</v>
      </c>
      <c r="O142">
        <v>37</v>
      </c>
      <c r="P142" t="s">
        <v>52</v>
      </c>
      <c r="Q142">
        <v>269.48</v>
      </c>
      <c r="R142">
        <v>0.189753</v>
      </c>
      <c r="U142" s="36"/>
      <c r="AB142" s="5"/>
      <c r="AC142">
        <f t="shared" si="26"/>
        <v>2022</v>
      </c>
      <c r="AH142" s="5"/>
      <c r="AI142">
        <f t="shared" si="27"/>
        <v>2022</v>
      </c>
      <c r="AY142" s="1"/>
      <c r="AZ142" s="1"/>
    </row>
    <row r="143" s="3" customFormat="1" hidden="1" spans="2:52">
      <c r="B143" s="9" t="s">
        <v>428</v>
      </c>
      <c r="C143" s="9" t="s">
        <v>428</v>
      </c>
      <c r="I143" s="14"/>
      <c r="J143" s="15" t="s">
        <v>52</v>
      </c>
      <c r="K143" s="14"/>
      <c r="L143" s="16">
        <v>1547000</v>
      </c>
      <c r="M143">
        <v>2</v>
      </c>
      <c r="N143">
        <v>7541</v>
      </c>
      <c r="O143">
        <v>37</v>
      </c>
      <c r="P143" t="s">
        <v>52</v>
      </c>
      <c r="Q143">
        <v>269.48</v>
      </c>
      <c r="R143">
        <v>0.189753</v>
      </c>
      <c r="U143" s="36"/>
      <c r="AB143" s="5"/>
      <c r="AC143">
        <f t="shared" si="26"/>
        <v>2022</v>
      </c>
      <c r="AH143" s="5"/>
      <c r="AI143">
        <f t="shared" si="27"/>
        <v>2022</v>
      </c>
      <c r="AY143" s="1"/>
      <c r="AZ143" s="1"/>
    </row>
    <row r="144" s="3" customFormat="1" hidden="1" spans="2:52">
      <c r="B144" s="9" t="s">
        <v>429</v>
      </c>
      <c r="C144" s="9" t="s">
        <v>429</v>
      </c>
      <c r="I144" s="14"/>
      <c r="J144" s="15" t="s">
        <v>52</v>
      </c>
      <c r="K144" s="14"/>
      <c r="L144" s="16">
        <v>1547000</v>
      </c>
      <c r="M144">
        <v>2</v>
      </c>
      <c r="N144">
        <v>7541</v>
      </c>
      <c r="O144">
        <v>37</v>
      </c>
      <c r="P144" t="s">
        <v>52</v>
      </c>
      <c r="Q144">
        <v>269.48</v>
      </c>
      <c r="R144">
        <v>0.189753</v>
      </c>
      <c r="U144" s="36"/>
      <c r="AB144" s="5"/>
      <c r="AC144">
        <f t="shared" si="26"/>
        <v>2022</v>
      </c>
      <c r="AH144" s="5"/>
      <c r="AI144">
        <f t="shared" si="27"/>
        <v>2022</v>
      </c>
      <c r="AY144" s="1"/>
      <c r="AZ144" s="1"/>
    </row>
    <row r="145" s="3" customFormat="1" hidden="1" spans="2:52">
      <c r="B145" s="9" t="s">
        <v>430</v>
      </c>
      <c r="C145" s="9" t="s">
        <v>430</v>
      </c>
      <c r="I145" s="14"/>
      <c r="J145" s="15" t="s">
        <v>52</v>
      </c>
      <c r="K145" s="14"/>
      <c r="L145" s="16">
        <v>1547000</v>
      </c>
      <c r="M145">
        <v>2</v>
      </c>
      <c r="N145">
        <v>7541</v>
      </c>
      <c r="O145">
        <v>37</v>
      </c>
      <c r="P145" t="s">
        <v>52</v>
      </c>
      <c r="Q145">
        <v>269.48</v>
      </c>
      <c r="R145">
        <v>0.189753</v>
      </c>
      <c r="U145" s="36"/>
      <c r="AB145" s="5"/>
      <c r="AC145">
        <f t="shared" si="26"/>
        <v>2022</v>
      </c>
      <c r="AH145" s="5"/>
      <c r="AI145">
        <f t="shared" si="27"/>
        <v>2022</v>
      </c>
      <c r="AY145" s="1"/>
      <c r="AZ145" s="1"/>
    </row>
    <row r="146" s="3" customFormat="1" hidden="1" spans="2:52">
      <c r="B146" s="9" t="s">
        <v>431</v>
      </c>
      <c r="C146" s="9" t="s">
        <v>431</v>
      </c>
      <c r="I146" s="14"/>
      <c r="J146" s="15" t="s">
        <v>52</v>
      </c>
      <c r="K146" s="14"/>
      <c r="L146" s="16">
        <v>1547000</v>
      </c>
      <c r="M146">
        <v>2</v>
      </c>
      <c r="N146">
        <v>7541</v>
      </c>
      <c r="O146">
        <v>37</v>
      </c>
      <c r="P146" t="s">
        <v>52</v>
      </c>
      <c r="Q146">
        <v>269.48</v>
      </c>
      <c r="R146">
        <v>0.189753</v>
      </c>
      <c r="U146" s="36"/>
      <c r="AB146" s="5"/>
      <c r="AC146">
        <f t="shared" si="26"/>
        <v>2022</v>
      </c>
      <c r="AH146" s="5"/>
      <c r="AI146">
        <f t="shared" si="27"/>
        <v>2022</v>
      </c>
      <c r="AY146" s="1"/>
      <c r="AZ146" s="1"/>
    </row>
    <row r="147" s="3" customFormat="1" hidden="1" spans="2:52">
      <c r="B147" s="9" t="s">
        <v>432</v>
      </c>
      <c r="C147" s="9" t="s">
        <v>432</v>
      </c>
      <c r="I147" s="14"/>
      <c r="J147" s="15" t="s">
        <v>52</v>
      </c>
      <c r="K147" s="14"/>
      <c r="L147" s="16">
        <v>1547000</v>
      </c>
      <c r="M147">
        <v>2</v>
      </c>
      <c r="N147">
        <v>7541</v>
      </c>
      <c r="O147">
        <v>37</v>
      </c>
      <c r="P147" t="s">
        <v>52</v>
      </c>
      <c r="Q147">
        <v>269.48</v>
      </c>
      <c r="R147">
        <v>0.189753</v>
      </c>
      <c r="U147" s="36"/>
      <c r="AB147" s="5"/>
      <c r="AC147">
        <f t="shared" si="26"/>
        <v>2022</v>
      </c>
      <c r="AH147" s="5"/>
      <c r="AI147">
        <f t="shared" si="27"/>
        <v>2022</v>
      </c>
      <c r="AY147" s="1"/>
      <c r="AZ147" s="1"/>
    </row>
    <row r="148" s="3" customFormat="1" hidden="1" spans="2:52">
      <c r="B148" s="9" t="s">
        <v>433</v>
      </c>
      <c r="C148" s="9" t="s">
        <v>433</v>
      </c>
      <c r="I148" s="14"/>
      <c r="J148" s="15" t="s">
        <v>52</v>
      </c>
      <c r="K148" s="14"/>
      <c r="L148" s="16">
        <v>1547000</v>
      </c>
      <c r="M148">
        <v>2</v>
      </c>
      <c r="N148">
        <v>7541</v>
      </c>
      <c r="O148">
        <v>37</v>
      </c>
      <c r="P148" t="s">
        <v>52</v>
      </c>
      <c r="Q148">
        <v>269.48</v>
      </c>
      <c r="R148">
        <v>0.189753</v>
      </c>
      <c r="U148" s="36"/>
      <c r="AB148" s="5"/>
      <c r="AC148">
        <f t="shared" si="26"/>
        <v>2022</v>
      </c>
      <c r="AH148" s="5"/>
      <c r="AI148">
        <f t="shared" si="27"/>
        <v>2022</v>
      </c>
      <c r="AY148" s="1"/>
      <c r="AZ148" s="1"/>
    </row>
    <row r="149" s="3" customFormat="1" hidden="1" spans="2:52">
      <c r="B149" s="9" t="s">
        <v>434</v>
      </c>
      <c r="C149" s="9" t="s">
        <v>434</v>
      </c>
      <c r="I149" s="14"/>
      <c r="J149" s="15" t="s">
        <v>52</v>
      </c>
      <c r="K149" s="14"/>
      <c r="L149" s="16">
        <v>1547000</v>
      </c>
      <c r="M149">
        <v>2</v>
      </c>
      <c r="N149">
        <v>7541</v>
      </c>
      <c r="O149">
        <v>37</v>
      </c>
      <c r="P149" t="s">
        <v>52</v>
      </c>
      <c r="Q149">
        <v>269.48</v>
      </c>
      <c r="R149">
        <v>0.189753</v>
      </c>
      <c r="U149" s="36"/>
      <c r="AB149" s="5"/>
      <c r="AC149">
        <f t="shared" si="26"/>
        <v>2022</v>
      </c>
      <c r="AH149" s="5"/>
      <c r="AI149">
        <f t="shared" si="27"/>
        <v>2022</v>
      </c>
      <c r="AY149" s="1"/>
      <c r="AZ149" s="1"/>
    </row>
    <row r="150" s="3" customFormat="1" hidden="1" spans="2:52">
      <c r="B150" s="9" t="s">
        <v>435</v>
      </c>
      <c r="C150" s="9" t="s">
        <v>435</v>
      </c>
      <c r="I150" s="14"/>
      <c r="J150" s="15" t="s">
        <v>52</v>
      </c>
      <c r="K150" s="14"/>
      <c r="L150" s="16">
        <v>1547000</v>
      </c>
      <c r="M150">
        <v>2</v>
      </c>
      <c r="N150">
        <v>7541</v>
      </c>
      <c r="O150">
        <v>37</v>
      </c>
      <c r="P150" t="s">
        <v>52</v>
      </c>
      <c r="Q150">
        <v>269.48</v>
      </c>
      <c r="R150">
        <v>0.189753</v>
      </c>
      <c r="U150" s="36"/>
      <c r="AB150" s="5"/>
      <c r="AC150">
        <f t="shared" si="26"/>
        <v>2022</v>
      </c>
      <c r="AH150" s="5"/>
      <c r="AI150">
        <f t="shared" si="27"/>
        <v>2022</v>
      </c>
      <c r="AY150" s="1"/>
      <c r="AZ150" s="1"/>
    </row>
    <row r="151" s="3" customFormat="1" hidden="1" spans="2:52">
      <c r="B151" s="9" t="s">
        <v>436</v>
      </c>
      <c r="C151" s="9" t="s">
        <v>436</v>
      </c>
      <c r="I151" s="14"/>
      <c r="J151" s="15" t="s">
        <v>52</v>
      </c>
      <c r="K151" s="14"/>
      <c r="L151" s="16">
        <v>1547000</v>
      </c>
      <c r="M151">
        <v>2</v>
      </c>
      <c r="N151">
        <v>7541</v>
      </c>
      <c r="O151">
        <v>37</v>
      </c>
      <c r="P151" t="s">
        <v>52</v>
      </c>
      <c r="Q151">
        <v>269.48</v>
      </c>
      <c r="R151">
        <v>0.189753</v>
      </c>
      <c r="U151" s="36"/>
      <c r="AB151" s="5"/>
      <c r="AC151">
        <f t="shared" si="26"/>
        <v>2022</v>
      </c>
      <c r="AH151" s="5"/>
      <c r="AI151">
        <f t="shared" si="27"/>
        <v>2022</v>
      </c>
      <c r="AY151" s="1"/>
      <c r="AZ151" s="1"/>
    </row>
    <row r="152" s="3" customFormat="1" hidden="1" spans="2:52">
      <c r="B152" s="9" t="s">
        <v>437</v>
      </c>
      <c r="C152" s="9" t="s">
        <v>437</v>
      </c>
      <c r="I152" s="14"/>
      <c r="J152" s="15" t="s">
        <v>52</v>
      </c>
      <c r="K152" s="14"/>
      <c r="L152" s="16">
        <v>1547000</v>
      </c>
      <c r="M152">
        <v>2</v>
      </c>
      <c r="N152">
        <v>7541</v>
      </c>
      <c r="O152">
        <v>37</v>
      </c>
      <c r="P152" t="s">
        <v>52</v>
      </c>
      <c r="Q152">
        <v>269.48</v>
      </c>
      <c r="R152">
        <v>0.189753</v>
      </c>
      <c r="U152" s="36"/>
      <c r="AB152" s="5"/>
      <c r="AC152">
        <f t="shared" si="26"/>
        <v>2022</v>
      </c>
      <c r="AH152" s="5"/>
      <c r="AI152">
        <f t="shared" si="27"/>
        <v>2022</v>
      </c>
      <c r="AY152" s="1"/>
      <c r="AZ152" s="1"/>
    </row>
    <row r="153" s="3" customFormat="1" hidden="1" spans="2:52">
      <c r="B153" s="9" t="s">
        <v>438</v>
      </c>
      <c r="C153" s="9" t="s">
        <v>438</v>
      </c>
      <c r="I153" s="14"/>
      <c r="J153" s="15" t="s">
        <v>52</v>
      </c>
      <c r="K153" s="14"/>
      <c r="L153" s="16">
        <v>1547000</v>
      </c>
      <c r="M153">
        <v>2</v>
      </c>
      <c r="N153">
        <v>7541</v>
      </c>
      <c r="O153">
        <v>37</v>
      </c>
      <c r="P153" t="s">
        <v>52</v>
      </c>
      <c r="Q153">
        <v>269.48</v>
      </c>
      <c r="R153">
        <v>0.189753</v>
      </c>
      <c r="U153" s="36"/>
      <c r="AB153" s="5"/>
      <c r="AC153">
        <f t="shared" si="26"/>
        <v>2022</v>
      </c>
      <c r="AH153" s="5"/>
      <c r="AI153">
        <f t="shared" si="27"/>
        <v>2022</v>
      </c>
      <c r="AY153" s="1"/>
      <c r="AZ153" s="1"/>
    </row>
    <row r="154" s="3" customFormat="1" hidden="1" spans="2:52">
      <c r="B154" s="9" t="s">
        <v>439</v>
      </c>
      <c r="C154" s="9" t="s">
        <v>439</v>
      </c>
      <c r="I154" s="14"/>
      <c r="J154" s="15" t="s">
        <v>52</v>
      </c>
      <c r="K154" s="14"/>
      <c r="L154" s="16">
        <v>1547000</v>
      </c>
      <c r="M154">
        <v>2</v>
      </c>
      <c r="N154">
        <v>7541</v>
      </c>
      <c r="O154">
        <v>37</v>
      </c>
      <c r="P154" t="s">
        <v>52</v>
      </c>
      <c r="Q154">
        <v>269.48</v>
      </c>
      <c r="R154">
        <v>0.189753</v>
      </c>
      <c r="U154" s="36"/>
      <c r="AB154" s="5"/>
      <c r="AC154">
        <f t="shared" si="26"/>
        <v>2022</v>
      </c>
      <c r="AH154" s="5"/>
      <c r="AI154">
        <f t="shared" si="27"/>
        <v>2022</v>
      </c>
      <c r="AY154" s="1"/>
      <c r="AZ154" s="1"/>
    </row>
    <row r="155" s="3" customFormat="1" hidden="1" spans="2:52">
      <c r="B155" s="9" t="s">
        <v>440</v>
      </c>
      <c r="C155" s="9" t="s">
        <v>440</v>
      </c>
      <c r="F155"/>
      <c r="G155"/>
      <c r="I155" s="14"/>
      <c r="J155" s="15" t="s">
        <v>52</v>
      </c>
      <c r="K155" s="14"/>
      <c r="L155" s="16">
        <v>1547000</v>
      </c>
      <c r="M155">
        <v>2</v>
      </c>
      <c r="N155">
        <v>7541</v>
      </c>
      <c r="O155">
        <v>37</v>
      </c>
      <c r="P155" t="s">
        <v>52</v>
      </c>
      <c r="Q155">
        <v>269.48</v>
      </c>
      <c r="R155">
        <v>0.189753</v>
      </c>
      <c r="U155" s="36"/>
      <c r="AB155" s="5"/>
      <c r="AC155">
        <f t="shared" si="26"/>
        <v>2022</v>
      </c>
      <c r="AH155" s="5"/>
      <c r="AI155">
        <f t="shared" si="27"/>
        <v>2022</v>
      </c>
      <c r="AY155" s="1"/>
      <c r="AZ155" s="1"/>
    </row>
    <row r="156" s="3" customFormat="1" hidden="1" spans="2:52">
      <c r="B156" s="9" t="s">
        <v>441</v>
      </c>
      <c r="C156" s="9" t="s">
        <v>441</v>
      </c>
      <c r="I156" s="14"/>
      <c r="J156" s="15" t="s">
        <v>52</v>
      </c>
      <c r="K156" s="14"/>
      <c r="L156" s="16">
        <v>1547000</v>
      </c>
      <c r="M156">
        <v>2</v>
      </c>
      <c r="N156">
        <v>7541</v>
      </c>
      <c r="O156">
        <v>37</v>
      </c>
      <c r="P156" t="s">
        <v>52</v>
      </c>
      <c r="Q156">
        <v>269.48</v>
      </c>
      <c r="R156">
        <v>0.189753</v>
      </c>
      <c r="U156" s="36"/>
      <c r="AB156" s="5"/>
      <c r="AC156">
        <f t="shared" si="26"/>
        <v>2022</v>
      </c>
      <c r="AH156" s="5"/>
      <c r="AI156">
        <f t="shared" si="27"/>
        <v>2022</v>
      </c>
      <c r="AY156" s="1"/>
      <c r="AZ156" s="1"/>
    </row>
    <row r="157" s="3" customFormat="1" hidden="1" spans="2:52">
      <c r="B157" s="9" t="s">
        <v>442</v>
      </c>
      <c r="C157" s="9" t="s">
        <v>442</v>
      </c>
      <c r="I157" s="14"/>
      <c r="J157" s="15" t="s">
        <v>52</v>
      </c>
      <c r="K157" s="14"/>
      <c r="L157" s="16">
        <v>1547000</v>
      </c>
      <c r="M157">
        <v>2</v>
      </c>
      <c r="N157">
        <v>7541</v>
      </c>
      <c r="O157">
        <v>37</v>
      </c>
      <c r="P157" t="s">
        <v>52</v>
      </c>
      <c r="Q157">
        <v>269.48</v>
      </c>
      <c r="R157">
        <v>0.189753</v>
      </c>
      <c r="U157" s="36"/>
      <c r="AB157" s="5"/>
      <c r="AC157">
        <f t="shared" si="26"/>
        <v>2022</v>
      </c>
      <c r="AH157" s="5"/>
      <c r="AI157">
        <f t="shared" si="27"/>
        <v>2022</v>
      </c>
      <c r="AY157" s="1"/>
      <c r="AZ157" s="1"/>
    </row>
    <row r="158" s="3" customFormat="1" hidden="1" spans="2:52">
      <c r="B158" s="9" t="s">
        <v>443</v>
      </c>
      <c r="C158" s="9" t="s">
        <v>443</v>
      </c>
      <c r="I158" s="14"/>
      <c r="J158" s="15" t="s">
        <v>52</v>
      </c>
      <c r="K158" s="14"/>
      <c r="L158" s="16">
        <v>1547000</v>
      </c>
      <c r="M158">
        <v>2</v>
      </c>
      <c r="N158">
        <v>7541</v>
      </c>
      <c r="O158">
        <v>37</v>
      </c>
      <c r="P158" t="s">
        <v>52</v>
      </c>
      <c r="Q158">
        <v>269.48</v>
      </c>
      <c r="R158">
        <v>0.189753</v>
      </c>
      <c r="U158" s="36"/>
      <c r="AB158" s="5"/>
      <c r="AC158">
        <f t="shared" si="26"/>
        <v>2022</v>
      </c>
      <c r="AH158" s="5"/>
      <c r="AI158">
        <f t="shared" si="27"/>
        <v>2022</v>
      </c>
      <c r="AY158" s="1"/>
      <c r="AZ158" s="1"/>
    </row>
    <row r="159" s="3" customFormat="1" hidden="1" spans="2:52">
      <c r="B159" s="9" t="s">
        <v>444</v>
      </c>
      <c r="C159" s="9" t="s">
        <v>444</v>
      </c>
      <c r="I159" s="14"/>
      <c r="J159" s="15" t="s">
        <v>52</v>
      </c>
      <c r="K159" s="14"/>
      <c r="L159" s="16">
        <v>1547000</v>
      </c>
      <c r="M159">
        <v>2</v>
      </c>
      <c r="N159">
        <v>7541</v>
      </c>
      <c r="O159">
        <v>37</v>
      </c>
      <c r="P159" t="s">
        <v>52</v>
      </c>
      <c r="Q159">
        <v>269.48</v>
      </c>
      <c r="R159">
        <v>0.189753</v>
      </c>
      <c r="U159" s="36"/>
      <c r="AB159" s="5"/>
      <c r="AC159">
        <f t="shared" si="26"/>
        <v>2022</v>
      </c>
      <c r="AH159" s="5"/>
      <c r="AI159">
        <f t="shared" si="27"/>
        <v>2022</v>
      </c>
      <c r="AY159" s="1"/>
      <c r="AZ159" s="1"/>
    </row>
    <row r="160" s="3" customFormat="1" hidden="1" spans="2:52">
      <c r="B160" s="9" t="s">
        <v>445</v>
      </c>
      <c r="C160" s="9" t="s">
        <v>445</v>
      </c>
      <c r="I160" s="14"/>
      <c r="J160" s="15" t="s">
        <v>52</v>
      </c>
      <c r="K160" s="14"/>
      <c r="L160" s="16">
        <v>1547000</v>
      </c>
      <c r="M160">
        <v>2</v>
      </c>
      <c r="N160">
        <v>7541</v>
      </c>
      <c r="O160">
        <v>37</v>
      </c>
      <c r="P160" t="s">
        <v>52</v>
      </c>
      <c r="Q160">
        <v>269.48</v>
      </c>
      <c r="R160">
        <v>0.189753</v>
      </c>
      <c r="U160" s="36"/>
      <c r="AB160" s="5"/>
      <c r="AC160">
        <f t="shared" si="26"/>
        <v>2022</v>
      </c>
      <c r="AH160" s="5"/>
      <c r="AI160">
        <f t="shared" si="27"/>
        <v>2022</v>
      </c>
      <c r="AY160" s="1"/>
      <c r="AZ160" s="1"/>
    </row>
    <row r="161" s="3" customFormat="1" hidden="1" spans="2:52">
      <c r="B161" s="9" t="s">
        <v>446</v>
      </c>
      <c r="C161" s="9" t="s">
        <v>446</v>
      </c>
      <c r="G161" s="35">
        <v>0.003</v>
      </c>
      <c r="I161" s="14"/>
      <c r="J161" s="15" t="s">
        <v>52</v>
      </c>
      <c r="K161" s="14"/>
      <c r="L161" s="16">
        <v>1547000</v>
      </c>
      <c r="M161">
        <v>2</v>
      </c>
      <c r="N161">
        <v>7541</v>
      </c>
      <c r="O161">
        <v>37</v>
      </c>
      <c r="P161" t="s">
        <v>52</v>
      </c>
      <c r="Q161">
        <v>269.48</v>
      </c>
      <c r="R161">
        <v>0.189753</v>
      </c>
      <c r="U161" s="36"/>
      <c r="AB161" s="5"/>
      <c r="AC161">
        <f t="shared" si="26"/>
        <v>2022</v>
      </c>
      <c r="AH161" s="5"/>
      <c r="AI161">
        <f t="shared" si="27"/>
        <v>2022</v>
      </c>
      <c r="AY161" s="1"/>
      <c r="AZ161" s="1"/>
    </row>
    <row r="162" s="3" customFormat="1" hidden="1" spans="2:52">
      <c r="B162" s="9" t="s">
        <v>447</v>
      </c>
      <c r="C162" s="9" t="s">
        <v>447</v>
      </c>
      <c r="I162" s="14"/>
      <c r="J162" s="15" t="s">
        <v>52</v>
      </c>
      <c r="K162" s="14"/>
      <c r="L162" s="16">
        <v>1547000</v>
      </c>
      <c r="M162">
        <v>2</v>
      </c>
      <c r="N162">
        <v>7541</v>
      </c>
      <c r="O162">
        <v>37</v>
      </c>
      <c r="P162" t="s">
        <v>52</v>
      </c>
      <c r="Q162">
        <v>269.48</v>
      </c>
      <c r="R162">
        <v>0.189753</v>
      </c>
      <c r="U162" s="36"/>
      <c r="AB162" s="5"/>
      <c r="AC162">
        <f t="shared" si="26"/>
        <v>2022</v>
      </c>
      <c r="AH162" s="5"/>
      <c r="AI162">
        <f t="shared" si="27"/>
        <v>2022</v>
      </c>
      <c r="AY162" s="1"/>
      <c r="AZ162" s="1"/>
    </row>
    <row r="163" s="3" customFormat="1" hidden="1" spans="2:52">
      <c r="B163" s="9" t="s">
        <v>448</v>
      </c>
      <c r="C163" s="9" t="s">
        <v>448</v>
      </c>
      <c r="I163" s="14"/>
      <c r="J163" s="15" t="s">
        <v>52</v>
      </c>
      <c r="K163" s="14"/>
      <c r="L163" s="16">
        <v>1547000</v>
      </c>
      <c r="M163">
        <v>2</v>
      </c>
      <c r="N163">
        <v>7541</v>
      </c>
      <c r="O163">
        <v>37</v>
      </c>
      <c r="P163" t="s">
        <v>52</v>
      </c>
      <c r="Q163">
        <v>269.48</v>
      </c>
      <c r="R163">
        <v>0.189753</v>
      </c>
      <c r="U163" s="36"/>
      <c r="AB163" s="5"/>
      <c r="AC163">
        <f t="shared" si="26"/>
        <v>2022</v>
      </c>
      <c r="AH163" s="5"/>
      <c r="AI163">
        <f t="shared" si="27"/>
        <v>2022</v>
      </c>
      <c r="AY163" s="1"/>
      <c r="AZ163" s="1"/>
    </row>
    <row r="164" s="3" customFormat="1" hidden="1" spans="2:52">
      <c r="B164" s="9" t="s">
        <v>449</v>
      </c>
      <c r="C164" s="9" t="s">
        <v>449</v>
      </c>
      <c r="I164" s="14"/>
      <c r="J164" s="15" t="s">
        <v>52</v>
      </c>
      <c r="K164" s="14"/>
      <c r="L164" s="16">
        <v>1547000</v>
      </c>
      <c r="M164">
        <v>2</v>
      </c>
      <c r="N164">
        <v>7541</v>
      </c>
      <c r="O164">
        <v>37</v>
      </c>
      <c r="P164" t="s">
        <v>52</v>
      </c>
      <c r="Q164">
        <v>269.48</v>
      </c>
      <c r="R164">
        <v>0.189753</v>
      </c>
      <c r="U164" s="36"/>
      <c r="AB164" s="5"/>
      <c r="AC164">
        <f t="shared" si="26"/>
        <v>2022</v>
      </c>
      <c r="AH164" s="5"/>
      <c r="AI164">
        <f t="shared" si="27"/>
        <v>2022</v>
      </c>
      <c r="AY164" s="1"/>
      <c r="AZ164" s="1"/>
    </row>
    <row r="165" s="3" customFormat="1" hidden="1" spans="2:52">
      <c r="B165" s="9" t="s">
        <v>450</v>
      </c>
      <c r="C165" s="9" t="s">
        <v>450</v>
      </c>
      <c r="I165" s="14"/>
      <c r="J165" s="15" t="s">
        <v>52</v>
      </c>
      <c r="K165" s="14"/>
      <c r="L165" s="16">
        <v>1547000</v>
      </c>
      <c r="M165">
        <v>2</v>
      </c>
      <c r="N165">
        <v>7541</v>
      </c>
      <c r="O165">
        <v>37</v>
      </c>
      <c r="P165" t="s">
        <v>52</v>
      </c>
      <c r="Q165">
        <v>269.48</v>
      </c>
      <c r="R165">
        <v>0.189753</v>
      </c>
      <c r="U165" s="36"/>
      <c r="AB165" s="5"/>
      <c r="AC165">
        <f t="shared" si="26"/>
        <v>2022</v>
      </c>
      <c r="AH165" s="5"/>
      <c r="AI165">
        <f t="shared" si="27"/>
        <v>2022</v>
      </c>
      <c r="AY165" s="1"/>
      <c r="AZ165" s="1"/>
    </row>
    <row r="166" s="3" customFormat="1" hidden="1" spans="2:52">
      <c r="B166" s="9" t="s">
        <v>451</v>
      </c>
      <c r="C166" s="9" t="s">
        <v>451</v>
      </c>
      <c r="I166" s="14"/>
      <c r="J166" s="15" t="s">
        <v>52</v>
      </c>
      <c r="K166" s="14"/>
      <c r="L166" s="16">
        <v>1547000</v>
      </c>
      <c r="M166">
        <v>2</v>
      </c>
      <c r="N166">
        <v>7541</v>
      </c>
      <c r="O166">
        <v>37</v>
      </c>
      <c r="P166" t="s">
        <v>52</v>
      </c>
      <c r="Q166">
        <v>269.48</v>
      </c>
      <c r="R166">
        <v>0.189753</v>
      </c>
      <c r="U166" s="36"/>
      <c r="AB166" s="5"/>
      <c r="AC166">
        <f t="shared" si="26"/>
        <v>2022</v>
      </c>
      <c r="AH166" s="5"/>
      <c r="AI166">
        <f t="shared" si="27"/>
        <v>2022</v>
      </c>
      <c r="AY166" s="1"/>
      <c r="AZ166" s="1"/>
    </row>
    <row r="167" s="3" customFormat="1" hidden="1" spans="2:52">
      <c r="B167" s="9" t="s">
        <v>452</v>
      </c>
      <c r="C167" s="9" t="s">
        <v>452</v>
      </c>
      <c r="I167" s="14"/>
      <c r="J167" s="15" t="s">
        <v>52</v>
      </c>
      <c r="K167" s="14"/>
      <c r="L167" s="16">
        <v>1547000</v>
      </c>
      <c r="M167">
        <v>2</v>
      </c>
      <c r="N167">
        <v>7541</v>
      </c>
      <c r="O167">
        <v>37</v>
      </c>
      <c r="P167" t="s">
        <v>52</v>
      </c>
      <c r="Q167">
        <v>269.48</v>
      </c>
      <c r="R167">
        <v>0.189753</v>
      </c>
      <c r="U167" s="36"/>
      <c r="AB167" s="5"/>
      <c r="AC167">
        <f t="shared" ref="AC167:AC174" si="28">2022-AB167</f>
        <v>2022</v>
      </c>
      <c r="AH167" s="5"/>
      <c r="AI167">
        <f t="shared" si="27"/>
        <v>2022</v>
      </c>
      <c r="AY167" s="1"/>
      <c r="AZ167" s="1"/>
    </row>
    <row r="168" s="3" customFormat="1" hidden="1" spans="2:52">
      <c r="B168" s="9" t="s">
        <v>453</v>
      </c>
      <c r="C168" s="9" t="s">
        <v>453</v>
      </c>
      <c r="G168" s="35">
        <v>0.004</v>
      </c>
      <c r="I168" s="14"/>
      <c r="J168" s="15" t="s">
        <v>52</v>
      </c>
      <c r="K168" s="14"/>
      <c r="L168" s="16">
        <v>1547000</v>
      </c>
      <c r="M168">
        <v>2</v>
      </c>
      <c r="N168">
        <v>7541</v>
      </c>
      <c r="O168">
        <v>37</v>
      </c>
      <c r="P168" t="s">
        <v>52</v>
      </c>
      <c r="Q168">
        <v>269.48</v>
      </c>
      <c r="R168">
        <v>0.189753</v>
      </c>
      <c r="U168" s="36"/>
      <c r="AB168" s="5"/>
      <c r="AC168">
        <f t="shared" si="28"/>
        <v>2022</v>
      </c>
      <c r="AH168" s="5"/>
      <c r="AI168">
        <f t="shared" si="27"/>
        <v>2022</v>
      </c>
      <c r="AY168" s="1"/>
      <c r="AZ168" s="1"/>
    </row>
    <row r="169" s="3" customFormat="1" hidden="1" spans="2:52">
      <c r="B169" s="9" t="s">
        <v>454</v>
      </c>
      <c r="C169" s="9" t="s">
        <v>454</v>
      </c>
      <c r="I169" s="14"/>
      <c r="J169" s="15" t="s">
        <v>52</v>
      </c>
      <c r="K169" s="14"/>
      <c r="L169" s="16">
        <v>1547000</v>
      </c>
      <c r="M169">
        <v>2</v>
      </c>
      <c r="N169">
        <v>7541</v>
      </c>
      <c r="O169">
        <v>37</v>
      </c>
      <c r="P169" t="s">
        <v>52</v>
      </c>
      <c r="Q169">
        <v>269.48</v>
      </c>
      <c r="R169">
        <v>0.189753</v>
      </c>
      <c r="U169" s="36"/>
      <c r="AB169" s="5"/>
      <c r="AC169">
        <f t="shared" si="28"/>
        <v>2022</v>
      </c>
      <c r="AH169" s="5"/>
      <c r="AI169">
        <f t="shared" si="27"/>
        <v>2022</v>
      </c>
      <c r="AY169" s="1"/>
      <c r="AZ169" s="1"/>
    </row>
    <row r="170" s="3" customFormat="1" hidden="1" spans="2:52">
      <c r="B170" s="9" t="s">
        <v>455</v>
      </c>
      <c r="C170" s="9" t="s">
        <v>455</v>
      </c>
      <c r="I170" s="14"/>
      <c r="J170" s="15" t="s">
        <v>52</v>
      </c>
      <c r="K170" s="14"/>
      <c r="L170" s="16">
        <v>1547000</v>
      </c>
      <c r="M170">
        <v>2</v>
      </c>
      <c r="N170">
        <v>7541</v>
      </c>
      <c r="O170">
        <v>37</v>
      </c>
      <c r="P170" t="s">
        <v>52</v>
      </c>
      <c r="Q170">
        <v>269.48</v>
      </c>
      <c r="R170">
        <v>0.189753</v>
      </c>
      <c r="U170" s="36"/>
      <c r="AB170" s="5"/>
      <c r="AC170">
        <f t="shared" si="28"/>
        <v>2022</v>
      </c>
      <c r="AH170" s="5"/>
      <c r="AI170">
        <f t="shared" si="27"/>
        <v>2022</v>
      </c>
      <c r="AY170" s="1"/>
      <c r="AZ170" s="1"/>
    </row>
    <row r="171" s="3" customFormat="1" hidden="1" spans="2:52">
      <c r="B171" s="9" t="s">
        <v>456</v>
      </c>
      <c r="C171" s="9" t="s">
        <v>456</v>
      </c>
      <c r="I171" s="14"/>
      <c r="J171" s="15" t="s">
        <v>52</v>
      </c>
      <c r="K171" s="14"/>
      <c r="L171" s="16">
        <v>1547000</v>
      </c>
      <c r="M171">
        <v>2</v>
      </c>
      <c r="N171">
        <v>7541</v>
      </c>
      <c r="O171">
        <v>37</v>
      </c>
      <c r="P171" t="s">
        <v>52</v>
      </c>
      <c r="Q171">
        <v>269.48</v>
      </c>
      <c r="R171">
        <v>0.189753</v>
      </c>
      <c r="U171" s="36"/>
      <c r="AB171" s="5"/>
      <c r="AC171">
        <f t="shared" si="28"/>
        <v>2022</v>
      </c>
      <c r="AH171" s="5"/>
      <c r="AI171">
        <f t="shared" si="27"/>
        <v>2022</v>
      </c>
      <c r="AY171" s="1"/>
      <c r="AZ171" s="1"/>
    </row>
    <row r="172" s="3" customFormat="1" hidden="1" spans="2:52">
      <c r="B172" s="9" t="s">
        <v>457</v>
      </c>
      <c r="C172" s="9" t="s">
        <v>457</v>
      </c>
      <c r="I172" s="14"/>
      <c r="J172" s="15" t="s">
        <v>52</v>
      </c>
      <c r="K172" s="14"/>
      <c r="L172" s="16">
        <v>1547000</v>
      </c>
      <c r="M172">
        <v>2</v>
      </c>
      <c r="N172">
        <v>7541</v>
      </c>
      <c r="O172">
        <v>37</v>
      </c>
      <c r="P172" t="s">
        <v>52</v>
      </c>
      <c r="Q172">
        <v>269.48</v>
      </c>
      <c r="R172">
        <v>0.189753</v>
      </c>
      <c r="U172" s="36"/>
      <c r="AB172" s="5"/>
      <c r="AC172">
        <f t="shared" si="28"/>
        <v>2022</v>
      </c>
      <c r="AH172" s="5"/>
      <c r="AI172">
        <f t="shared" si="27"/>
        <v>2022</v>
      </c>
      <c r="AY172" s="1"/>
      <c r="AZ172" s="1"/>
    </row>
    <row r="173" s="3" customFormat="1" hidden="1" spans="2:52">
      <c r="B173" s="9" t="s">
        <v>458</v>
      </c>
      <c r="C173" s="9" t="s">
        <v>458</v>
      </c>
      <c r="I173" s="14"/>
      <c r="J173" s="15" t="s">
        <v>52</v>
      </c>
      <c r="K173" s="14"/>
      <c r="L173" s="16">
        <v>1547000</v>
      </c>
      <c r="M173">
        <v>2</v>
      </c>
      <c r="N173">
        <v>7541</v>
      </c>
      <c r="O173">
        <v>37</v>
      </c>
      <c r="P173" t="s">
        <v>52</v>
      </c>
      <c r="Q173">
        <v>269.48</v>
      </c>
      <c r="R173">
        <v>0.189753</v>
      </c>
      <c r="U173" s="36"/>
      <c r="AB173" s="5"/>
      <c r="AC173">
        <f t="shared" si="28"/>
        <v>2022</v>
      </c>
      <c r="AH173" s="5"/>
      <c r="AI173">
        <f t="shared" si="27"/>
        <v>2022</v>
      </c>
      <c r="AY173" s="1"/>
      <c r="AZ173" s="1"/>
    </row>
    <row r="174" hidden="1" spans="2:35">
      <c r="B174" t="s">
        <v>48</v>
      </c>
      <c r="C174" t="s">
        <v>49</v>
      </c>
      <c r="I174" s="14"/>
      <c r="J174" s="15" t="s">
        <v>52</v>
      </c>
      <c r="K174" s="14"/>
      <c r="AA174" t="s">
        <v>459</v>
      </c>
      <c r="AB174" s="5"/>
      <c r="AC174">
        <f t="shared" si="28"/>
        <v>2022</v>
      </c>
      <c r="AI174">
        <f t="shared" si="27"/>
        <v>2022</v>
      </c>
    </row>
  </sheetData>
  <conditionalFormatting sqref="AB6">
    <cfRule type="expression" dxfId="0" priority="11">
      <formula>MOD(ROW(),2)=0</formula>
    </cfRule>
  </conditionalFormatting>
  <conditionalFormatting sqref="AB31">
    <cfRule type="expression" dxfId="0" priority="8">
      <formula>MOD(ROW(),2)=0</formula>
    </cfRule>
  </conditionalFormatting>
  <conditionalFormatting sqref="AB39">
    <cfRule type="expression" dxfId="0" priority="7">
      <formula>MOD(ROW(),2)=0</formula>
    </cfRule>
  </conditionalFormatting>
  <conditionalFormatting sqref="AB40">
    <cfRule type="expression" dxfId="0" priority="6">
      <formula>MOD(ROW(),2)=0</formula>
    </cfRule>
  </conditionalFormatting>
  <conditionalFormatting sqref="AB72">
    <cfRule type="expression" dxfId="0" priority="5">
      <formula>MOD(ROW(),2)=0</formula>
    </cfRule>
  </conditionalFormatting>
  <conditionalFormatting sqref="AB94">
    <cfRule type="expression" dxfId="0" priority="2">
      <formula>MOD(ROW(),2)=0</formula>
    </cfRule>
  </conditionalFormatting>
  <conditionalFormatting sqref="AB109">
    <cfRule type="expression" dxfId="0" priority="1">
      <formula>MOD(ROW(),2)=0</formula>
    </cfRule>
  </conditionalFormatting>
  <conditionalFormatting sqref="AB74:AB77">
    <cfRule type="expression" dxfId="0" priority="4">
      <formula>MOD(ROW(),2)=0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2026-09-16T13:45:34Z</dcterms:created>
  <dcterms:modified xsi:type="dcterms:W3CDTF">2026-09-16T13:51:18Z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BAABE9809BAF19D0502DAA6ADC780FC4_42</vt:lpwstr>
  </property>
  <property fmtid="{D5CDD505-2E9C-101B-9397-08002B2CF9AE}" pid="3" name="KSOProductBuildVer">
    <vt:lpwstr>1033-6.14.0.8924</vt:lpwstr>
  </property>
</Properties>
</file>