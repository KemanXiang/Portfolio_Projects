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6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<sst xmlns="http://schemas.openxmlformats.org/spreadsheetml/2006/main" count="2063" uniqueCount="494">
  <si>
    <t>Rank</t>
  </si>
  <si>
    <t>Brand</t>
  </si>
  <si>
    <t>Company</t>
  </si>
  <si>
    <t>Brand Share/Company</t>
  </si>
  <si>
    <t>Brand Share/Industry</t>
  </si>
  <si>
    <t>Exchange Rate</t>
  </si>
  <si>
    <t>Currency</t>
  </si>
  <si>
    <t>Total Industry Revenue/USD</t>
  </si>
  <si>
    <t>Overseas Sales i-1</t>
  </si>
  <si>
    <t>Overseas Sales i</t>
  </si>
  <si>
    <t>Overseas Sales Growth Rate</t>
  </si>
  <si>
    <t>Non-core Business Sales i-1</t>
  </si>
  <si>
    <t>Non-core Business Sales i</t>
  </si>
  <si>
    <t>Non-core Business Sales Growth Rate</t>
  </si>
  <si>
    <t>ED Expansion Driver</t>
  </si>
  <si>
    <t>Cost of Sales i-4</t>
  </si>
  <si>
    <t>Cost of Sales i-3</t>
  </si>
  <si>
    <t>Cost of Sales i-2</t>
  </si>
  <si>
    <t>Cost of Sales i-1</t>
  </si>
  <si>
    <t>Cost of Sales i</t>
  </si>
  <si>
    <t>Average Cost of Sales over 5 Years</t>
  </si>
  <si>
    <t>Average Cost of Sales over 5 Years/USD</t>
  </si>
  <si>
    <t>Standard Deviation of Cost of Sales</t>
  </si>
  <si>
    <t>LD Loyalty Driver</t>
  </si>
  <si>
    <t>Brand Sales i</t>
  </si>
  <si>
    <t>Brand Cost of Sales i</t>
  </si>
  <si>
    <t>Brand Sales/Cost of Sales i</t>
  </si>
  <si>
    <t>Brand Sales i-1</t>
  </si>
  <si>
    <t>Brand Sales/Cost of Sales i-1</t>
  </si>
  <si>
    <t>Brand Sales i-2</t>
  </si>
  <si>
    <t>Brand Sales/Cost of Sales i-2</t>
  </si>
  <si>
    <t>Brand Sales i-3</t>
  </si>
  <si>
    <t>Brand Sales/Cost of Sales i-3</t>
  </si>
  <si>
    <t>Brand Sales i-4</t>
  </si>
  <si>
    <t>Brand Sales/Cost of Sales i-4</t>
  </si>
  <si>
    <t>Benchmark Brand Sales</t>
  </si>
  <si>
    <t>Benchmark Brand Cost of Sales</t>
  </si>
  <si>
    <t>Benchmark Brand Sales/Cost of Sales i</t>
  </si>
  <si>
    <t>Brand Advertising Expense i</t>
  </si>
  <si>
    <t>Brand Operating Cost i</t>
  </si>
  <si>
    <t>Advertising Expense/Operating Cost i</t>
  </si>
  <si>
    <t>Brand Advertising Expense i-1</t>
  </si>
  <si>
    <t>Brand Operating Cost i-1</t>
  </si>
  <si>
    <t>Advertising Expense/Operating Cost i-1</t>
  </si>
  <si>
    <t>Brand Advertising Expense i-2</t>
  </si>
  <si>
    <t>Brand Operating Cost i-2</t>
  </si>
  <si>
    <t>Advertising Expense/Operating Cost i-2</t>
  </si>
  <si>
    <t>Brand Advertising Expense i-3</t>
  </si>
  <si>
    <t>Brand Operating Cost i-3</t>
  </si>
  <si>
    <t>Advertising Expense/Operating Cost i-3</t>
  </si>
  <si>
    <t>Brand Advertising Expense i-4</t>
  </si>
  <si>
    <t>Brand Operating Cost i-4</t>
  </si>
  <si>
    <t>Advertising Expense/Operating Cost i-4</t>
  </si>
  <si>
    <t>Brand Advertising Expense/Operating Cost</t>
  </si>
  <si>
    <t>PD Price Driver</t>
  </si>
  <si>
    <t>r Discount Rate</t>
  </si>
  <si>
    <t>Total Consumer Perception</t>
  </si>
  <si>
    <t>Official</t>
  </si>
  <si>
    <t>Industry Average</t>
  </si>
  <si>
    <t>Industry</t>
  </si>
  <si>
    <t>EUR to USD (LVMH)</t>
  </si>
  <si>
    <t>USD</t>
  </si>
  <si>
    <t>THE NORTH FACE</t>
  </si>
  <si>
    <t>VF Corporation</t>
  </si>
  <si>
    <t>EUR to USD (Kering)</t>
  </si>
  <si>
    <t>TIMBERLAND</t>
  </si>
  <si>
    <t>EUR to USD (Inditex)</t>
  </si>
  <si>
    <t>VANS</t>
  </si>
  <si>
    <t>NAPAPIJRI</t>
  </si>
  <si>
    <t>JANSPORT</t>
  </si>
  <si>
    <t>SUPREME</t>
  </si>
  <si>
    <t>ROCK&amp;REPUBLIC</t>
  </si>
  <si>
    <t>DICKIES</t>
  </si>
  <si>
    <t>LEE</t>
  </si>
  <si>
    <t>WRANGLER</t>
  </si>
  <si>
    <t>Christian Dior</t>
  </si>
  <si>
    <t>CHRISTIAN DIOR</t>
  </si>
  <si>
    <t>LVMH Moët Hennessy-Louis Vuitton SE</t>
  </si>
  <si>
    <t>EUR</t>
  </si>
  <si>
    <t>Emilio Pucci</t>
  </si>
  <si>
    <t>EMILIO PUCCI</t>
  </si>
  <si>
    <t>Fendi</t>
  </si>
  <si>
    <t>FENDI</t>
  </si>
  <si>
    <t>Loewe</t>
  </si>
  <si>
    <t>LOEWE</t>
  </si>
  <si>
    <t>Loro Piana</t>
  </si>
  <si>
    <t>LORO PIANA</t>
  </si>
  <si>
    <t>Louis Vuitton</t>
  </si>
  <si>
    <t>LOUIS VUITTON</t>
  </si>
  <si>
    <t>Marc Jacobs</t>
  </si>
  <si>
    <t>MARC JACOBS</t>
  </si>
  <si>
    <t>Alexander McQueen</t>
  </si>
  <si>
    <t>ALEXANDER MCQUEEN</t>
  </si>
  <si>
    <t>Kering SA</t>
  </si>
  <si>
    <t>Balenciaga</t>
  </si>
  <si>
    <t>BALENCIAGA</t>
  </si>
  <si>
    <t>Bottega Veneta</t>
  </si>
  <si>
    <t>BOTTEGA VENETA</t>
  </si>
  <si>
    <t>Gucci</t>
  </si>
  <si>
    <t>GUCCI</t>
  </si>
  <si>
    <t>Yves Saint Laurent</t>
  </si>
  <si>
    <t>YVES SAINT LAURENT</t>
  </si>
  <si>
    <t>ZARA</t>
  </si>
  <si>
    <t>Inditex</t>
  </si>
  <si>
    <t>BERSHKA</t>
  </si>
  <si>
    <t>MASSIMO DUTTI</t>
  </si>
  <si>
    <t>OYSHO</t>
  </si>
  <si>
    <t>PULL AND BEAR</t>
  </si>
  <si>
    <t>STRADIVARIUS</t>
  </si>
  <si>
    <t>Michael Kors</t>
  </si>
  <si>
    <t>MICHAEL KORS</t>
  </si>
  <si>
    <t>Capri Holdings Limited</t>
  </si>
  <si>
    <t>Versace</t>
  </si>
  <si>
    <t>VERSACE</t>
  </si>
  <si>
    <t>Acne Studios</t>
  </si>
  <si>
    <t>ACNE STUDIOS</t>
  </si>
  <si>
    <t>Acne Studios Holding AB</t>
  </si>
  <si>
    <t>USD246-X</t>
  </si>
  <si>
    <t>246(2020)</t>
  </si>
  <si>
    <t>ADIDAS</t>
  </si>
  <si>
    <t>21894.06-X</t>
  </si>
  <si>
    <t>22600-X</t>
  </si>
  <si>
    <t>Alberta Ferretti</t>
  </si>
  <si>
    <t>ALBERTA FERRETTI</t>
  </si>
  <si>
    <t>Aeffe SpA</t>
  </si>
  <si>
    <t>147 Companies</t>
  </si>
  <si>
    <t>147 Companies (2020)</t>
  </si>
  <si>
    <t>Brunello Cucinelli</t>
  </si>
  <si>
    <t>BRUNELLO CUCINELLI</t>
  </si>
  <si>
    <t>Brunello Cucinelli SpA</t>
  </si>
  <si>
    <t>476(2020)</t>
  </si>
  <si>
    <t>Burberry</t>
  </si>
  <si>
    <t>BURBERRY</t>
  </si>
  <si>
    <t>Burberry Group plc</t>
  </si>
  <si>
    <t>GBP</t>
  </si>
  <si>
    <t>Canada Goose</t>
  </si>
  <si>
    <t>CANADA GOOSE</t>
  </si>
  <si>
    <t>Canada Goose Holdings Inc.</t>
  </si>
  <si>
    <t>USD720^e-X Companies</t>
  </si>
  <si>
    <t>CAD349.7</t>
  </si>
  <si>
    <t>720^e Companies (2020)</t>
  </si>
  <si>
    <t>Chanel</t>
  </si>
  <si>
    <t>CHANEL</t>
  </si>
  <si>
    <t>Chanel Limited</t>
  </si>
  <si>
    <t xml:space="preserve">10,108-X </t>
  </si>
  <si>
    <t>10108(2020)</t>
  </si>
  <si>
    <t>Chloé</t>
  </si>
  <si>
    <t>CHLOÉ</t>
  </si>
  <si>
    <t>Compagnie Financière Richemont SA</t>
  </si>
  <si>
    <t>9940 Companies</t>
  </si>
  <si>
    <t>13183 Companies-X</t>
  </si>
  <si>
    <t>13183 Companies</t>
  </si>
  <si>
    <t>JOOP!</t>
  </si>
  <si>
    <t>Coty Inc.</t>
  </si>
  <si>
    <t>2947 Companies</t>
  </si>
  <si>
    <t>2606-X</t>
  </si>
  <si>
    <t>Pinko</t>
  </si>
  <si>
    <t>PINKO</t>
  </si>
  <si>
    <t>Cris Conf SpA</t>
  </si>
  <si>
    <t>USD182-X</t>
  </si>
  <si>
    <t>182(2020)</t>
  </si>
  <si>
    <t>Sting</t>
  </si>
  <si>
    <t>STING</t>
  </si>
  <si>
    <t>De Rigo SpA</t>
  </si>
  <si>
    <t>USD394-X Companies</t>
  </si>
  <si>
    <t>394 Companies (2020)</t>
  </si>
  <si>
    <t>Dolce&amp;Gabbana</t>
  </si>
  <si>
    <t>DOLCE&amp;GABBANA</t>
  </si>
  <si>
    <t>Dolce &amp; Gabbana</t>
  </si>
  <si>
    <t>USD1284-X</t>
  </si>
  <si>
    <t>1284(2020)</t>
  </si>
  <si>
    <t>Ermenegildo Zegna</t>
  </si>
  <si>
    <t>ERMENEGILDO ZEGNA</t>
  </si>
  <si>
    <t>Ermenegildo Zegna Holditalia SpA</t>
  </si>
  <si>
    <t>USD1156-X Companies</t>
  </si>
  <si>
    <t>1156 Companies (2020)</t>
  </si>
  <si>
    <t>Ermenegildo Zegna XXX Couture</t>
  </si>
  <si>
    <t>ERMENEGILDO ZEGNA XXX COUTURE</t>
  </si>
  <si>
    <t>THOM BROWNE. New York</t>
  </si>
  <si>
    <t>THOM BROWNE. NEW YORK</t>
  </si>
  <si>
    <t>Z Zegna</t>
  </si>
  <si>
    <t>Z ZEGNA</t>
  </si>
  <si>
    <t>Moschino</t>
  </si>
  <si>
    <t>MOSCHINO</t>
  </si>
  <si>
    <t>Euroitalia S.r.l.</t>
  </si>
  <si>
    <t>USD456-X Companies</t>
  </si>
  <si>
    <t>456 Companies (2020)</t>
  </si>
  <si>
    <t>Naj-Oleari</t>
  </si>
  <si>
    <t>NAJ-OLEARI</t>
  </si>
  <si>
    <t>Reporter</t>
  </si>
  <si>
    <t>REPORTER</t>
  </si>
  <si>
    <t>Heron Preston</t>
  </si>
  <si>
    <t>HERON PRESTON</t>
  </si>
  <si>
    <t>Farfetch Limited</t>
  </si>
  <si>
    <t>USD823-X Companies</t>
  </si>
  <si>
    <t>823 Companies (2020)</t>
  </si>
  <si>
    <t>Marcelo Burlon County of Milan</t>
  </si>
  <si>
    <t>MARCELO BURLON COUNTY OF MILAN</t>
  </si>
  <si>
    <t>823 Companies(2020)</t>
  </si>
  <si>
    <t>Off-White</t>
  </si>
  <si>
    <t>OFF-WHITE</t>
  </si>
  <si>
    <t>Palm Angels</t>
  </si>
  <si>
    <t>PALM ANGELS</t>
  </si>
  <si>
    <t>Replay</t>
  </si>
  <si>
    <t>REPLAY</t>
  </si>
  <si>
    <t>Fashion Box SpA</t>
  </si>
  <si>
    <t>USD256-X</t>
  </si>
  <si>
    <t>256(2020)</t>
  </si>
  <si>
    <t>UNIQLO</t>
  </si>
  <si>
    <t>FAST RETAILING</t>
  </si>
  <si>
    <t>18910-X</t>
  </si>
  <si>
    <t>18910（2020）</t>
  </si>
  <si>
    <t>Fossil</t>
  </si>
  <si>
    <t>FOSSIL</t>
  </si>
  <si>
    <t>Fossil Group, Inc.</t>
  </si>
  <si>
    <t>971 Companies</t>
  </si>
  <si>
    <t>971 Companies-X</t>
  </si>
  <si>
    <t>Michele</t>
  </si>
  <si>
    <t>MICHELE</t>
  </si>
  <si>
    <t>Relic</t>
  </si>
  <si>
    <t>RELIC</t>
  </si>
  <si>
    <t>Etro</t>
  </si>
  <si>
    <t>ETRO</t>
  </si>
  <si>
    <t>Gefin SpA</t>
  </si>
  <si>
    <t>USD218-X</t>
  </si>
  <si>
    <t>218(2020)</t>
  </si>
  <si>
    <t>A|X Armani Exchange</t>
  </si>
  <si>
    <t>A|X ARMANI EXCHANGE</t>
  </si>
  <si>
    <t>Giorgio Armani SpA</t>
  </si>
  <si>
    <t>USD1822-X Companies</t>
  </si>
  <si>
    <t>1822 Companies(2020)</t>
  </si>
  <si>
    <t>Emporio Armani</t>
  </si>
  <si>
    <t>EMPORIO ARMANI</t>
  </si>
  <si>
    <t>Giorgio Armani</t>
  </si>
  <si>
    <t>GIORGIO ARMANI</t>
  </si>
  <si>
    <t>Golden Goose</t>
  </si>
  <si>
    <t>GOLDEN GOOSE</t>
  </si>
  <si>
    <t>Golden Goose SpA</t>
  </si>
  <si>
    <t>299-X</t>
  </si>
  <si>
    <t>303(2020)</t>
  </si>
  <si>
    <t>H&amp;M</t>
  </si>
  <si>
    <t>19100-X Companies</t>
  </si>
  <si>
    <t>Hermès</t>
  </si>
  <si>
    <t>HERMÈS</t>
  </si>
  <si>
    <t>Hermès International SCA</t>
  </si>
  <si>
    <t>BOSS</t>
  </si>
  <si>
    <t>Hugo Boss AG</t>
  </si>
  <si>
    <t>715 Companies</t>
  </si>
  <si>
    <t>2218 Companies-X</t>
  </si>
  <si>
    <t>2218 Companies</t>
  </si>
  <si>
    <t>HUGO</t>
  </si>
  <si>
    <t>Lanvin</t>
  </si>
  <si>
    <t>LANVIN</t>
  </si>
  <si>
    <t>Inter Parfums, Inc.</t>
  </si>
  <si>
    <t>241USD Companies</t>
  </si>
  <si>
    <t>241 Companies-X</t>
  </si>
  <si>
    <t>241 Companies</t>
  </si>
  <si>
    <t>Rochas</t>
  </si>
  <si>
    <t>ROCHAS</t>
  </si>
  <si>
    <t>Barbour</t>
  </si>
  <si>
    <t>BARBOUR</t>
  </si>
  <si>
    <t>J Barbour &amp; Sons Ltd</t>
  </si>
  <si>
    <t>108-X</t>
  </si>
  <si>
    <t>Glo</t>
  </si>
  <si>
    <t>GLO</t>
  </si>
  <si>
    <t>Kalyan Jewellers India Pvt. Limited</t>
  </si>
  <si>
    <t>USD1424-X Companies</t>
  </si>
  <si>
    <t>1424 Companies(2020)</t>
  </si>
  <si>
    <t>Mudhra</t>
  </si>
  <si>
    <t>MUDHRA</t>
  </si>
  <si>
    <t>JILL STUART</t>
  </si>
  <si>
    <t>Kosé Corporation</t>
  </si>
  <si>
    <t>346-X</t>
  </si>
  <si>
    <t>346(2020)</t>
  </si>
  <si>
    <t>DOCKERS</t>
  </si>
  <si>
    <t>Levi Strauss</t>
  </si>
  <si>
    <t>LEVI'S</t>
  </si>
  <si>
    <t>Liu.Jo</t>
  </si>
  <si>
    <t>LIU.JO</t>
  </si>
  <si>
    <t>Liu.Jo SpA</t>
  </si>
  <si>
    <t>346 Companies</t>
  </si>
  <si>
    <t>MARC O’POLO</t>
  </si>
  <si>
    <t>Marc O'Polo AG</t>
  </si>
  <si>
    <t>USD422-X</t>
  </si>
  <si>
    <t>422(2020)</t>
  </si>
  <si>
    <t>Marina Rinaldi</t>
  </si>
  <si>
    <t>MARINA RINALDI</t>
  </si>
  <si>
    <t>Max Mara Fashion Group Srl</t>
  </si>
  <si>
    <t>USD1366-X Companies</t>
  </si>
  <si>
    <t>1366 Companies(2020)</t>
  </si>
  <si>
    <t>Max &amp; Co</t>
  </si>
  <si>
    <t>MAX &amp;  CO</t>
  </si>
  <si>
    <t>MaxMara</t>
  </si>
  <si>
    <t>MAXMARA</t>
  </si>
  <si>
    <t>PennyBlack</t>
  </si>
  <si>
    <t>PENNYBLACK</t>
  </si>
  <si>
    <t>SportMax</t>
  </si>
  <si>
    <t>SPORTMAX</t>
  </si>
  <si>
    <t>Moncler</t>
  </si>
  <si>
    <t>MONCLER</t>
  </si>
  <si>
    <t>Moncler SpA</t>
  </si>
  <si>
    <t>1318-X</t>
  </si>
  <si>
    <t>Nike</t>
  </si>
  <si>
    <t>NIKE</t>
  </si>
  <si>
    <t>X-17363</t>
  </si>
  <si>
    <t>38500-X</t>
  </si>
  <si>
    <t>Jil Sander</t>
  </si>
  <si>
    <t>JIL SANDER</t>
  </si>
  <si>
    <t>Onward Holdings Co., Ltd.</t>
  </si>
  <si>
    <t>2277-X Companies</t>
  </si>
  <si>
    <t>2277 Companies(2020)</t>
  </si>
  <si>
    <t>Joseph</t>
  </si>
  <si>
    <t>JOSEPH</t>
  </si>
  <si>
    <t>Kashimaya</t>
  </si>
  <si>
    <t>KASHIMAYA</t>
  </si>
  <si>
    <t>Nijyusanku</t>
  </si>
  <si>
    <t>NIJYUSANKU</t>
  </si>
  <si>
    <t>Diesel</t>
  </si>
  <si>
    <t>DIESEL</t>
  </si>
  <si>
    <t>OTB SpA</t>
  </si>
  <si>
    <t>1445-X Companies</t>
  </si>
  <si>
    <t>1445 Companies(2020)</t>
  </si>
  <si>
    <t>Maison Margiela</t>
  </si>
  <si>
    <t>MAISON MARGIELA</t>
  </si>
  <si>
    <t>Marni</t>
  </si>
  <si>
    <t>MARNI</t>
  </si>
  <si>
    <t>Viktor &amp; Rolf</t>
  </si>
  <si>
    <t>VIKTOR&amp;ROLF</t>
  </si>
  <si>
    <t>Paul Smith</t>
  </si>
  <si>
    <t>PAUL SMITH</t>
  </si>
  <si>
    <t>Paul Smith Group Holdings Limited</t>
  </si>
  <si>
    <t>223-X</t>
  </si>
  <si>
    <t>223(2020)</t>
  </si>
  <si>
    <t>Miu Miu</t>
  </si>
  <si>
    <t>MIU MIU</t>
  </si>
  <si>
    <t>Prada Group</t>
  </si>
  <si>
    <t>1650 Companies</t>
  </si>
  <si>
    <t>Prada</t>
  </si>
  <si>
    <t>PRADA</t>
  </si>
  <si>
    <t>Carolina Herrera</t>
  </si>
  <si>
    <t>CAROLINA HERRERA</t>
  </si>
  <si>
    <t>Puig S.L.</t>
  </si>
  <si>
    <t>1353 Companies</t>
  </si>
  <si>
    <t>1353 Companies(2020)</t>
  </si>
  <si>
    <t>Jean Paul Gaultier</t>
  </si>
  <si>
    <t>JEAN PAUL GAULTIER</t>
  </si>
  <si>
    <t>Paco Rabanne</t>
  </si>
  <si>
    <t>PACO RABANNE</t>
  </si>
  <si>
    <t>Calvin Klein</t>
  </si>
  <si>
    <t>CALVIN KLEIN</t>
  </si>
  <si>
    <t>PVH Corp.</t>
  </si>
  <si>
    <t>4673 Companies</t>
  </si>
  <si>
    <t>7130 Companies(2020)</t>
  </si>
  <si>
    <t>Tommy Hilfiger</t>
  </si>
  <si>
    <t>TOMMY HILFIGER</t>
  </si>
  <si>
    <t>Lauren Ralph Lauren</t>
  </si>
  <si>
    <t>LAUREN RALPH LAUREN</t>
  </si>
  <si>
    <t>Ralph Lauren Corporation</t>
  </si>
  <si>
    <t>3019 Companies</t>
  </si>
  <si>
    <t>2409 Companies</t>
  </si>
  <si>
    <t>Polo Ralph Lauren</t>
  </si>
  <si>
    <t>POLO RALPH LAUREN</t>
  </si>
  <si>
    <t>Ralph Lauren</t>
  </si>
  <si>
    <t>RALPH LAUREN</t>
  </si>
  <si>
    <t>Rolex</t>
  </si>
  <si>
    <t>ROLEX</t>
  </si>
  <si>
    <t>Rolex SA</t>
  </si>
  <si>
    <t>6177-X</t>
  </si>
  <si>
    <t>6177 Companies(2020)</t>
  </si>
  <si>
    <t>Salvatore Ferragamo</t>
  </si>
  <si>
    <t>SALVATORE FERRAGAMO</t>
  </si>
  <si>
    <t>Salvatore Ferragamo SpA</t>
  </si>
  <si>
    <t>889 Companies(2020)</t>
  </si>
  <si>
    <t>Mackintosh</t>
  </si>
  <si>
    <t>MACKINTOSH</t>
  </si>
  <si>
    <t>Sanyo Shokai Ltd.</t>
  </si>
  <si>
    <t>541^e-X Companies</t>
  </si>
  <si>
    <t>541^e Companies(2020)</t>
  </si>
  <si>
    <t>Paul Stuart</t>
  </si>
  <si>
    <t>PAUL STUART</t>
  </si>
  <si>
    <t>Claudie Pierlot</t>
  </si>
  <si>
    <t>CLAUDIE PIERLOT</t>
  </si>
  <si>
    <t>SMCP SAS</t>
  </si>
  <si>
    <t>562 Companies</t>
  </si>
  <si>
    <t>995 Companies(2020)</t>
  </si>
  <si>
    <t>De Fursac</t>
  </si>
  <si>
    <t>DE FURSAC</t>
  </si>
  <si>
    <t>Maje</t>
  </si>
  <si>
    <t>MAJE</t>
  </si>
  <si>
    <t>Sandro</t>
  </si>
  <si>
    <t>SANDRO</t>
  </si>
  <si>
    <t>Purificación García</t>
  </si>
  <si>
    <t>PURIFICACIÓN GARCÍA</t>
  </si>
  <si>
    <t>Sociedad Textil Lonia SA</t>
  </si>
  <si>
    <t>419-X Companies</t>
  </si>
  <si>
    <t>419 Companies(2020)</t>
  </si>
  <si>
    <t>Stone Island</t>
  </si>
  <si>
    <t>STONE ISLAND</t>
  </si>
  <si>
    <t>Sportswear Company SpA</t>
  </si>
  <si>
    <t>269-X</t>
  </si>
  <si>
    <t>269(2020)</t>
  </si>
  <si>
    <t>Kate Spade</t>
  </si>
  <si>
    <t>KATE SPADE</t>
  </si>
  <si>
    <t>Tapestry, Inc.</t>
  </si>
  <si>
    <t>255-X</t>
  </si>
  <si>
    <t>255(2020)</t>
  </si>
  <si>
    <t>Ted Baker</t>
  </si>
  <si>
    <t>TED BAKER</t>
  </si>
  <si>
    <t>Ted Baker plc</t>
  </si>
  <si>
    <t>339.534-X</t>
  </si>
  <si>
    <t>Hobbs</t>
  </si>
  <si>
    <t>HOBBS</t>
  </si>
  <si>
    <t>TFG Brands(London) Limited)</t>
  </si>
  <si>
    <t>495-X Companies</t>
  </si>
  <si>
    <t>495 Companies(2020)</t>
  </si>
  <si>
    <t>Phase Eight</t>
  </si>
  <si>
    <t>PHASE EIGHT</t>
  </si>
  <si>
    <t>Whistles</t>
  </si>
  <si>
    <t>WHISTLES</t>
  </si>
  <si>
    <t>GAP</t>
  </si>
  <si>
    <t>The Gap</t>
  </si>
  <si>
    <t>13800-X</t>
  </si>
  <si>
    <t>Fay</t>
  </si>
  <si>
    <t>FAY</t>
  </si>
  <si>
    <t>TOD'S SpA</t>
  </si>
  <si>
    <t>Tory Burch</t>
  </si>
  <si>
    <t>TORY BURCH</t>
  </si>
  <si>
    <t>Tory Burch LLC</t>
  </si>
  <si>
    <t>1200^e-X Companies</t>
  </si>
  <si>
    <t>1200^e Companies(2020)</t>
  </si>
  <si>
    <t>Tory Sport</t>
  </si>
  <si>
    <t>TORY SPORT</t>
  </si>
  <si>
    <t>True Religion</t>
  </si>
  <si>
    <t>TRUE RELIGION</t>
  </si>
  <si>
    <t>True Religion Apparel, Inc.</t>
  </si>
  <si>
    <t>259^e-X</t>
  </si>
  <si>
    <t>REDValentino</t>
  </si>
  <si>
    <t>REDVALENTINO</t>
  </si>
  <si>
    <t>Valentino SpA</t>
  </si>
  <si>
    <t>1002-X Companies</t>
  </si>
  <si>
    <t>1002 Companies(2020)</t>
  </si>
  <si>
    <t>Valentino</t>
  </si>
  <si>
    <t>VALENTINO</t>
  </si>
  <si>
    <t>Zadig &amp; Voltaire</t>
  </si>
  <si>
    <t>ZADIG &amp; VOLTAIRE</t>
  </si>
  <si>
    <t>388^e-X</t>
  </si>
  <si>
    <t>388^e(2020)-X</t>
  </si>
  <si>
    <t>388^e(2020)</t>
  </si>
  <si>
    <t>AND1 LAB</t>
  </si>
  <si>
    <t>ANTA</t>
  </si>
  <si>
    <t>ASOS</t>
  </si>
  <si>
    <t>CELINE</t>
  </si>
  <si>
    <t>CHAMPION</t>
  </si>
  <si>
    <t>COLUMBIA</t>
  </si>
  <si>
    <t>DENIZEN</t>
  </si>
  <si>
    <t>DKNY</t>
  </si>
  <si>
    <t>DONNA KARAN</t>
  </si>
  <si>
    <t>DUNHILL</t>
  </si>
  <si>
    <t>ELIZA J</t>
  </si>
  <si>
    <t>FERRAGAMO</t>
  </si>
  <si>
    <t>GIVENCHY</t>
  </si>
  <si>
    <t>GUESS</t>
  </si>
  <si>
    <t xml:space="preserve">GUNZE </t>
  </si>
  <si>
    <t>HANES</t>
  </si>
  <si>
    <t>IICEBREAKER</t>
  </si>
  <si>
    <t>JACK&amp;JONES</t>
  </si>
  <si>
    <t>JASSICA SIMPSON</t>
  </si>
  <si>
    <t>JESSICA HOWARD</t>
  </si>
  <si>
    <t>JUST MY SIZE</t>
  </si>
  <si>
    <t>KARL LAGERFELD PARIIS</t>
  </si>
  <si>
    <t>KENNETH COLE NEW YORK</t>
  </si>
  <si>
    <t>KENSIE</t>
  </si>
  <si>
    <t>KENZO</t>
  </si>
  <si>
    <t>LILLY PULITZER</t>
  </si>
  <si>
    <t>LULULEMON</t>
  </si>
  <si>
    <t>MOUNTAIN HARDWEAR</t>
  </si>
  <si>
    <t>MUJI</t>
  </si>
  <si>
    <t>ONLY</t>
  </si>
  <si>
    <t>PETER MILAR</t>
  </si>
  <si>
    <t>PRANA</t>
  </si>
  <si>
    <t>PUMA</t>
  </si>
  <si>
    <t>SELECTED</t>
  </si>
  <si>
    <t>SEMIR</t>
  </si>
  <si>
    <t>SOREL</t>
  </si>
  <si>
    <t>SOUTHERN TIDE</t>
  </si>
  <si>
    <t>THOMAS PINK</t>
  </si>
  <si>
    <t>TOMMY BAHAMA</t>
  </si>
  <si>
    <t>UNDER ARMOUR</t>
  </si>
  <si>
    <t>UNITED ARROWS</t>
  </si>
  <si>
    <t>18910(2020)</t>
  </si>
  <si>
    <t>VEROMODA</t>
  </si>
  <si>
    <t>VINCE CAMUTO</t>
  </si>
  <si>
    <t>WARNER'S</t>
  </si>
  <si>
    <t>YOUNGOR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</si>
</sst>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  <numFmt numFmtId="180" formatCode="#,##0.0_);\(#,##0.0\)"/>
    <numFmt numFmtId="181" formatCode="0.00_);[Red]\(0.00\)"/>
  </numFmts>
  <fonts count="47">
    <font>
      <sz val="12"/>
      <color theme="1"/>
      <name val="宋体"/>
      <charset val="134"/>
    </font>
    <font>
      <sz val="10"/>
      <color rgb="FF0F283E"/>
      <name val="Open Sans Light"/>
      <charset val="134"/>
    </font>
    <font>
      <sz val="12"/>
      <color rgb="FFFF0000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2"/>
      <color rgb="FFC00000"/>
      <name val="宋体"/>
      <charset val="134"/>
    </font>
    <font>
      <sz val="7"/>
      <color theme="1"/>
      <name val="AvenirNextText"/>
      <charset val="134"/>
    </font>
    <font>
      <sz val="9"/>
      <color theme="1"/>
      <name val="IBMPlexSan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rgb="FF3F3F76"/>
      <name val="宋体"/>
      <charset val="134"/>
    </font>
    <font>
      <b/>
      <sz val="11"/>
      <color rgb="FFFA7D00"/>
      <name val="宋体"/>
      <charset val="134"/>
    </font>
    <font>
      <sz val="11"/>
      <color rgb="FF9C6500"/>
      <name val="宋体"/>
      <charset val="134"/>
    </font>
    <font>
      <sz val="11"/>
      <color rgb="FF006100"/>
      <name val="宋体"/>
      <charset val="134"/>
    </font>
    <font>
      <b/>
      <sz val="11"/>
      <color theme="1"/>
      <name val="宋体"/>
      <charset val="134"/>
    </font>
    <font>
      <sz val="11"/>
      <color rgb="FF9C0006"/>
      <name val="宋体"/>
      <charset val="134"/>
    </font>
    <font>
      <b/>
      <sz val="11"/>
      <color rgb="FFFFFFFF"/>
      <name val="宋体"/>
      <charset val="134"/>
    </font>
    <font>
      <b/>
      <sz val="11"/>
      <color rgb="FF3F3F3F"/>
      <name val="宋体"/>
      <charset val="134"/>
    </font>
    <font>
      <b/>
      <sz val="15"/>
      <color theme="3"/>
      <name val="宋体"/>
      <charset val="134"/>
    </font>
    <font>
      <i/>
      <sz val="11"/>
      <color rgb="FF7F7F7F"/>
      <name val="宋体"/>
      <charset val="134"/>
    </font>
    <font>
      <b/>
      <sz val="11"/>
      <color theme="3"/>
      <name val="宋体"/>
      <charset val="134"/>
    </font>
    <font>
      <sz val="11"/>
      <color rgb="FF800080"/>
      <name val="宋体"/>
      <charset val="134"/>
    </font>
    <font>
      <b/>
      <sz val="18"/>
      <color theme="3"/>
      <name val="宋体"/>
      <charset val="134"/>
    </font>
    <font>
      <sz val="11"/>
      <color rgb="FFFF0000"/>
      <name val="宋体"/>
      <charset val="134"/>
    </font>
    <font>
      <sz val="11"/>
      <color rgb="FF0000FF"/>
      <name val="宋体"/>
      <charset val="134"/>
    </font>
    <font>
      <b/>
      <sz val="13"/>
      <color theme="3"/>
      <name val="宋体"/>
      <charset val="134"/>
    </font>
    <font>
      <sz val="11"/>
      <color rgb="FFFA7D00"/>
      <name val="宋体"/>
      <charset val="134"/>
    </font>
  </fonts>
  <fills count="6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4" tint="0.599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F283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99"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0" fillId="42" borderId="5" applyNumberFormat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31" fillId="51" borderId="5" applyNumberFormat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33" fillId="55" borderId="0" applyNumberFormat="0" applyBorder="0" applyAlignment="0" applyProtection="0">
      <alignment vertical="center"/>
    </xf>
    <xf numFmtId="0" fontId="29" fillId="56" borderId="0" applyNumberFormat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6" fillId="58" borderId="7" applyNumberFormat="0" applyAlignment="0" applyProtection="0">
      <alignment vertical="center"/>
    </xf>
    <xf numFmtId="0" fontId="37" fillId="51" borderId="6" applyNumberFormat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9" fillId="5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6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9" fillId="6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0" fillId="63" borderId="2" applyNumberFormat="0" applyFont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5" fillId="0" borderId="3" applyNumberFormat="0" applyFill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0" borderId="0"/>
    <xf numFmtId="0" fontId="40" fillId="0" borderId="10" applyNumberFormat="0" applyFill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</cellStyleXfs>
  <cellXfs count="37">
    <xf numFmtId="0" fontId="0" fillId="0" borderId="0" xfId="49">
      <alignment vertical="center"/>
    </xf>
    <xf numFmtId="0" fontId="0" fillId="0" borderId="0" xfId="49" applyFill="1">
      <alignment vertical="center"/>
    </xf>
    <xf numFmtId="0" fontId="0" fillId="2" borderId="0" xfId="49" applyFill="1">
      <alignment vertical="center"/>
    </xf>
    <xf numFmtId="0" fontId="0" fillId="3" borderId="0" xfId="49" applyFill="1">
      <alignment vertical="center"/>
    </xf>
    <xf numFmtId="0" fontId="0" fillId="4" borderId="0" xfId="49" applyFill="1">
      <alignment vertical="center"/>
    </xf>
    <xf numFmtId="0" fontId="0" fillId="5" borderId="0" xfId="49" applyFill="1">
      <alignment vertical="center"/>
    </xf>
    <xf numFmtId="0" fontId="0" fillId="0" borderId="0" xfId="49" applyFill="1" applyAlignment="1">
      <alignment vertical="center"/>
    </xf>
    <xf numFmtId="0" fontId="0" fillId="3" borderId="0" xfId="49" applyFill="1" applyAlignment="1">
      <alignment vertical="center"/>
    </xf>
    <xf numFmtId="0" fontId="0" fillId="6" borderId="0" xfId="49" applyFill="1">
      <alignment vertical="center"/>
    </xf>
    <xf numFmtId="0" fontId="1" fillId="0" borderId="0" xfId="94" applyFont="1" applyFill="1" applyAlignment="1">
      <alignment horizontal="left"/>
    </xf>
    <xf numFmtId="10" fontId="0" fillId="0" borderId="0" xfId="49" applyNumberFormat="1" applyFill="1">
      <alignment vertical="center"/>
    </xf>
    <xf numFmtId="9" fontId="0" fillId="0" borderId="0" xfId="49" applyNumberFormat="1" applyFill="1">
      <alignment vertical="center"/>
    </xf>
    <xf numFmtId="10" fontId="0" fillId="3" borderId="0" xfId="49" applyNumberFormat="1" applyFill="1">
      <alignment vertical="center"/>
    </xf>
    <xf numFmtId="0" fontId="1" fillId="0" borderId="1" xfId="94" applyFont="1" applyFill="1" applyBorder="1" applyAlignment="1">
      <alignment horizontal="left"/>
    </xf>
    <xf numFmtId="3" fontId="0" fillId="0" borderId="0" xfId="49" applyNumberFormat="1" applyFill="1">
      <alignment vertical="center"/>
    </xf>
    <xf numFmtId="4" fontId="0" fillId="0" borderId="0" xfId="49" applyNumberFormat="1" applyFill="1">
      <alignment vertical="center"/>
    </xf>
    <xf numFmtId="3" fontId="0" fillId="0" borderId="0" xfId="49" applyNumberFormat="1">
      <alignment vertical="center"/>
    </xf>
    <xf numFmtId="0" fontId="1" fillId="3" borderId="1" xfId="94" applyFont="1" applyFill="1" applyBorder="1" applyAlignment="1">
      <alignment horizontal="left"/>
    </xf>
    <xf numFmtId="3" fontId="0" fillId="3" borderId="0" xfId="49" applyNumberFormat="1" applyFill="1">
      <alignment vertical="center"/>
    </xf>
    <xf numFmtId="0" fontId="2" fillId="5" borderId="0" xfId="49" applyFont="1" applyFill="1">
      <alignment vertical="center"/>
    </xf>
    <xf numFmtId="3" fontId="1" fillId="0" borderId="1" xfId="94" applyNumberFormat="1" applyFont="1" applyFill="1" applyBorder="1" applyAlignment="1">
      <alignment horizontal="right"/>
    </xf>
    <xf numFmtId="0" fontId="3" fillId="5" borderId="0" xfId="49" applyFont="1" applyFill="1">
      <alignment vertical="center"/>
    </xf>
    <xf numFmtId="0" fontId="0" fillId="7" borderId="0" xfId="49" applyFill="1">
      <alignment vertical="center"/>
    </xf>
    <xf numFmtId="180" fontId="4" fillId="0" borderId="0" xfId="49" applyNumberFormat="1" applyFont="1" applyFill="1" applyAlignment="1">
      <alignment horizontal="right" vertical="top"/>
    </xf>
    <xf numFmtId="0" fontId="3" fillId="6" borderId="0" xfId="49" applyFont="1" applyFill="1">
      <alignment vertical="center"/>
    </xf>
    <xf numFmtId="0" fontId="2" fillId="6" borderId="0" xfId="49" applyFont="1" applyFill="1">
      <alignment vertical="center"/>
    </xf>
    <xf numFmtId="0" fontId="3" fillId="8" borderId="0" xfId="49" applyFont="1" applyFill="1">
      <alignment vertical="center"/>
    </xf>
    <xf numFmtId="181" fontId="0" fillId="0" borderId="0" xfId="49" applyNumberFormat="1" applyFill="1">
      <alignment vertical="center"/>
    </xf>
    <xf numFmtId="3" fontId="1" fillId="0" borderId="0" xfId="94" applyNumberFormat="1" applyFont="1" applyFill="1" applyAlignment="1">
      <alignment horizontal="right"/>
    </xf>
    <xf numFmtId="0" fontId="5" fillId="8" borderId="0" xfId="49" applyFont="1" applyFill="1">
      <alignment vertical="center"/>
    </xf>
    <xf numFmtId="3" fontId="6" fillId="0" borderId="0" xfId="49" applyNumberFormat="1" applyFont="1" applyFill="1">
      <alignment vertical="center"/>
    </xf>
    <xf numFmtId="0" fontId="2" fillId="8" borderId="0" xfId="49" applyFont="1" applyFill="1">
      <alignment vertical="center"/>
    </xf>
    <xf numFmtId="10" fontId="7" fillId="0" borderId="0" xfId="49" applyNumberFormat="1" applyFont="1" applyFill="1">
      <alignment vertical="center"/>
    </xf>
    <xf numFmtId="10" fontId="0" fillId="0" borderId="0" xfId="49" applyNumberFormat="1">
      <alignment vertical="center"/>
    </xf>
    <xf numFmtId="9" fontId="0" fillId="3" borderId="0" xfId="49" applyNumberFormat="1" applyFill="1">
      <alignment vertical="center"/>
    </xf>
    <xf numFmtId="181" fontId="0" fillId="0" borderId="0" xfId="49" applyNumberFormat="1">
      <alignment vertical="center"/>
    </xf>
    <xf numFmtId="4" fontId="0" fillId="0" borderId="0" xfId="49" applyNumberFormat="1">
      <alignment vertical="center"/>
    </xf>
  </cellXfs>
  <cellStyles count="9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" xfId="49"/>
    <cellStyle name="60% - 强调文字颜色 6" xfId="50"/>
    <cellStyle name="20% - 强调文字颜色 4" xfId="51"/>
    <cellStyle name="强调文字颜色 4" xfId="52"/>
    <cellStyle name="输入" xfId="53"/>
    <cellStyle name="40% - 强调文字颜色 3" xfId="54"/>
    <cellStyle name="20% - 强调文字颜色 3" xfId="55"/>
    <cellStyle name="货币" xfId="56"/>
    <cellStyle name="强调文字颜色 3" xfId="57"/>
    <cellStyle name="百分比" xfId="58"/>
    <cellStyle name="60% - 强调文字颜色 2" xfId="59"/>
    <cellStyle name="60% - 强调文字颜色 5" xfId="60"/>
    <cellStyle name="强调文字颜色 2" xfId="61"/>
    <cellStyle name="60% - 强调文字颜色 1" xfId="62"/>
    <cellStyle name="60% - 强调文字颜色 4" xfId="63"/>
    <cellStyle name="计算" xfId="64"/>
    <cellStyle name="强调文字颜色 1" xfId="65"/>
    <cellStyle name="适中" xfId="66"/>
    <cellStyle name="20% - 强调文字颜色 5" xfId="67"/>
    <cellStyle name="好" xfId="68"/>
    <cellStyle name="20% - 强调文字颜色 1" xfId="69"/>
    <cellStyle name="汇总" xfId="70"/>
    <cellStyle name="差" xfId="71"/>
    <cellStyle name="检查单元格" xfId="72"/>
    <cellStyle name="输出" xfId="73"/>
    <cellStyle name="标题 1" xfId="74"/>
    <cellStyle name="解释性文本" xfId="75"/>
    <cellStyle name="20% - 强调文字颜色 2" xfId="76"/>
    <cellStyle name="标题 4" xfId="77"/>
    <cellStyle name="货币[0]" xfId="78"/>
    <cellStyle name="40% - 强调文字颜色 4" xfId="79"/>
    <cellStyle name="千位分隔" xfId="80"/>
    <cellStyle name="已访问的超链接" xfId="81"/>
    <cellStyle name="标题" xfId="82"/>
    <cellStyle name="40% - 强调文字颜色 2" xfId="83"/>
    <cellStyle name="警告文本" xfId="84"/>
    <cellStyle name="60% - 强调文字颜色 3" xfId="85"/>
    <cellStyle name="注释" xfId="86"/>
    <cellStyle name="20% - 强调文字颜色 6" xfId="87"/>
    <cellStyle name="强调文字颜色 5" xfId="88"/>
    <cellStyle name="40% - 强调文字颜色 6" xfId="89"/>
    <cellStyle name="超链接" xfId="90"/>
    <cellStyle name="千位分隔[0]" xfId="91"/>
    <cellStyle name="标题 2" xfId="92"/>
    <cellStyle name="40% - 强调文字颜色 5" xfId="93"/>
    <cellStyle name="Normal 2" xfId="94"/>
    <cellStyle name="标题 3" xfId="95"/>
    <cellStyle name="强调文字颜色 6" xfId="96"/>
    <cellStyle name="40% - 强调文字颜色 1" xfId="97"/>
    <cellStyle name="链接单元格" xfId="9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175"/>
  <sheetViews>
    <sheetView tabSelected="1" topLeftCell="CF1" workbookViewId="0">
      <selection activeCell="CI8" sqref="CI8"/>
    </sheetView>
  </sheetViews>
  <sheetFormatPr defaultColWidth="9.14285714285714" defaultRowHeight="17.6"/>
  <cols>
    <col min="2" max="2" width="20.5714285714286" customWidth="1"/>
    <col min="3" max="3" width="12.9285714285714" hidden="1" customWidth="1"/>
    <col min="4" max="4" width="20.6160714285714" hidden="1" customWidth="1"/>
    <col min="5" max="6" width="16.1428571428571" hidden="1" customWidth="1"/>
    <col min="7" max="7" width="20.5714285714286" hidden="1" customWidth="1"/>
    <col min="8" max="8" width="8" hidden="1" customWidth="1"/>
    <col min="9" max="9" width="5.85714285714286" hidden="1" customWidth="1"/>
    <col min="10" max="10" width="29.5714285714286" customWidth="1"/>
    <col min="11" max="11" width="5.85714285714286" hidden="1" customWidth="1"/>
    <col min="12" max="12" width="18" hidden="1" customWidth="1"/>
    <col min="13" max="13" width="5.85714285714286" hidden="1" customWidth="1"/>
    <col min="14" max="14" width="20.1428571428571" hidden="1" customWidth="1"/>
    <col min="15" max="15" width="28.3571428571429" customWidth="1"/>
    <col min="16" max="16" width="5.85714285714286" hidden="1" customWidth="1"/>
    <col min="17" max="17" width="22.2142857142857" hidden="1" customWidth="1"/>
    <col min="18" max="18" width="5.85714285714286" hidden="1" customWidth="1"/>
    <col min="19" max="19" width="25.5" hidden="1" customWidth="1"/>
    <col min="20" max="20" width="37.5714285714286" customWidth="1"/>
    <col min="21" max="21" width="22.1428571428571" customWidth="1"/>
    <col min="22" max="22" width="5.85714285714286" hidden="1" customWidth="1"/>
    <col min="23" max="23" width="12.6428571428571" hidden="1" customWidth="1"/>
    <col min="24" max="24" width="5.85714285714286" hidden="1" customWidth="1"/>
    <col min="25" max="25" width="12.6428571428571" hidden="1" customWidth="1"/>
    <col min="26" max="26" width="5.85714285714286" hidden="1" customWidth="1"/>
    <col min="27" max="27" width="12.6428571428571" hidden="1" customWidth="1"/>
    <col min="28" max="28" width="5.85714285714286" hidden="1" customWidth="1"/>
    <col min="29" max="29" width="12.6428571428571" hidden="1" customWidth="1"/>
    <col min="30" max="30" width="5.85714285714286" hidden="1" customWidth="1"/>
    <col min="31" max="31" width="10.7857142857143" hidden="1" customWidth="1"/>
    <col min="32" max="32" width="6.58928571428571" hidden="1" customWidth="1"/>
    <col min="33" max="33" width="20.8571428571429" hidden="1" customWidth="1"/>
    <col min="34" max="34" width="40.3571428571429" customWidth="1"/>
    <col min="35" max="35" width="35.5714285714286" customWidth="1"/>
    <col min="36" max="36" width="18.7142857142857" customWidth="1"/>
    <col min="37" max="37" width="5.85714285714286" hidden="1" customWidth="1"/>
    <col min="38" max="38" width="14.9285714285714" hidden="1" customWidth="1"/>
    <col min="39" max="39" width="5.85714285714286" hidden="1" customWidth="1"/>
    <col min="40" max="40" width="17.3571428571429" hidden="1" customWidth="1"/>
    <col min="41" max="41" width="26.3571428571429" customWidth="1"/>
    <col min="42" max="42" width="5.85714285714286" hidden="1" customWidth="1"/>
    <col min="43" max="43" width="15.5714285714286" hidden="1" customWidth="1"/>
    <col min="44" max="44" width="26.3571428571429" customWidth="1"/>
    <col min="45" max="45" width="5.85714285714286" hidden="1" customWidth="1"/>
    <col min="46" max="46" width="15.5714285714286" hidden="1" customWidth="1"/>
    <col min="47" max="47" width="26.3571428571429" customWidth="1"/>
    <col min="48" max="48" width="5.85714285714286" hidden="1" customWidth="1"/>
    <col min="49" max="49" width="15.5714285714286" hidden="1" customWidth="1"/>
    <col min="50" max="50" width="26.3571428571429" customWidth="1"/>
    <col min="51" max="51" width="5.85714285714286" hidden="1" customWidth="1"/>
    <col min="52" max="52" width="15.5714285714286" hidden="1" customWidth="1"/>
    <col min="53" max="53" width="26.3571428571429" customWidth="1"/>
    <col min="54" max="54" width="5.85714285714286" hidden="1" customWidth="1"/>
    <col min="55" max="55" width="5.51785714285714" hidden="1" customWidth="1"/>
    <col min="56" max="56" width="5.85714285714286" hidden="1" customWidth="1"/>
    <col min="57" max="57" width="19.7142857142857" hidden="1" customWidth="1"/>
    <col min="58" max="58" width="38.9285714285714" customWidth="1"/>
    <col min="59" max="59" width="5.85714285714286" hidden="1" customWidth="1"/>
    <col min="60" max="60" width="19.7142857142857" hidden="1" customWidth="1"/>
    <col min="61" max="61" width="5.85714285714286" hidden="1" customWidth="1"/>
    <col min="62" max="62" width="17.3571428571429" hidden="1" customWidth="1"/>
    <col min="63" max="63" width="38.1428571428571" customWidth="1"/>
    <col min="64" max="64" width="5.85714285714286" hidden="1" customWidth="1"/>
    <col min="65" max="65" width="19.7142857142857" hidden="1" customWidth="1"/>
    <col min="66" max="66" width="5.85714285714286" hidden="1" customWidth="1"/>
    <col min="67" max="67" width="17.3571428571429" hidden="1" customWidth="1"/>
    <col min="68" max="68" width="40" customWidth="1"/>
    <col min="69" max="69" width="5.85714285714286" hidden="1" customWidth="1"/>
    <col min="70" max="70" width="19.7142857142857" hidden="1" customWidth="1"/>
    <col min="71" max="71" width="5.85714285714286" hidden="1" customWidth="1"/>
    <col min="72" max="72" width="17.3571428571429" hidden="1" customWidth="1"/>
    <col min="73" max="73" width="40" customWidth="1"/>
    <col min="74" max="74" width="5.85714285714286" hidden="1" customWidth="1"/>
    <col min="75" max="75" width="19.7142857142857" hidden="1" customWidth="1"/>
    <col min="76" max="76" width="5.85714285714286" hidden="1" customWidth="1"/>
    <col min="77" max="77" width="17.3571428571429" hidden="1" customWidth="1"/>
    <col min="78" max="78" width="40" customWidth="1"/>
    <col min="79" max="79" width="5.85714285714286" hidden="1" customWidth="1"/>
    <col min="80" max="80" width="19.7142857142857" hidden="1" customWidth="1"/>
    <col min="81" max="81" width="5.85714285714286" hidden="1" customWidth="1"/>
    <col min="82" max="82" width="17.3571428571429" hidden="1" customWidth="1"/>
    <col min="83" max="83" width="40" customWidth="1"/>
    <col min="84" max="84" width="43.5714285714286" customWidth="1"/>
    <col min="85" max="85" width="16.2857142857143" customWidth="1"/>
    <col min="86" max="86" width="16.1428571428571" customWidth="1"/>
    <col min="87" max="87" width="27.6428571428571" customWidth="1"/>
    <col min="88" max="88" width="9.14285714285714" hidden="1" customWidth="1"/>
  </cols>
  <sheetData>
    <row r="1" spans="1:88">
      <c r="A1" t="s">
        <v>0</v>
      </c>
      <c r="B1" s="4" t="s">
        <v>1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/>
      <c r="I1" s="5" t="s">
        <v>6</v>
      </c>
      <c r="J1" s="5" t="s">
        <v>7</v>
      </c>
      <c r="K1" s="5" t="s">
        <v>6</v>
      </c>
      <c r="L1" s="5" t="s">
        <v>8</v>
      </c>
      <c r="M1" s="5" t="s">
        <v>6</v>
      </c>
      <c r="N1" s="5" t="s">
        <v>9</v>
      </c>
      <c r="O1" s="19" t="s">
        <v>10</v>
      </c>
      <c r="P1" s="5" t="s">
        <v>6</v>
      </c>
      <c r="Q1" s="21" t="s">
        <v>11</v>
      </c>
      <c r="R1" s="5" t="s">
        <v>6</v>
      </c>
      <c r="S1" s="21" t="s">
        <v>12</v>
      </c>
      <c r="T1" s="19" t="s">
        <v>13</v>
      </c>
      <c r="U1" s="22" t="s">
        <v>14</v>
      </c>
      <c r="V1" s="5" t="s">
        <v>6</v>
      </c>
      <c r="W1" s="8" t="s">
        <v>15</v>
      </c>
      <c r="X1" s="5" t="s">
        <v>6</v>
      </c>
      <c r="Y1" s="8" t="s">
        <v>16</v>
      </c>
      <c r="Z1" s="5" t="s">
        <v>6</v>
      </c>
      <c r="AA1" s="8" t="s">
        <v>17</v>
      </c>
      <c r="AB1" s="5" t="s">
        <v>6</v>
      </c>
      <c r="AC1" s="8" t="s">
        <v>18</v>
      </c>
      <c r="AD1" s="5" t="s">
        <v>6</v>
      </c>
      <c r="AE1" s="8" t="s">
        <v>19</v>
      </c>
      <c r="AF1" s="5" t="s">
        <v>6</v>
      </c>
      <c r="AG1" s="24" t="s">
        <v>20</v>
      </c>
      <c r="AH1" s="25" t="s">
        <v>21</v>
      </c>
      <c r="AI1" s="25" t="s">
        <v>22</v>
      </c>
      <c r="AJ1" s="22" t="s">
        <v>23</v>
      </c>
      <c r="AK1" s="5" t="s">
        <v>6</v>
      </c>
      <c r="AL1" s="26" t="s">
        <v>24</v>
      </c>
      <c r="AM1" s="5" t="s">
        <v>6</v>
      </c>
      <c r="AN1" s="26" t="s">
        <v>25</v>
      </c>
      <c r="AO1" s="29" t="s">
        <v>26</v>
      </c>
      <c r="AP1" s="5" t="s">
        <v>6</v>
      </c>
      <c r="AQ1" s="26" t="s">
        <v>27</v>
      </c>
      <c r="AR1" s="29" t="s">
        <v>28</v>
      </c>
      <c r="AS1" s="5" t="s">
        <v>6</v>
      </c>
      <c r="AT1" s="26" t="s">
        <v>29</v>
      </c>
      <c r="AU1" s="29" t="s">
        <v>30</v>
      </c>
      <c r="AV1" s="5" t="s">
        <v>6</v>
      </c>
      <c r="AW1" s="26" t="s">
        <v>31</v>
      </c>
      <c r="AX1" s="29" t="s">
        <v>32</v>
      </c>
      <c r="AY1" s="5" t="s">
        <v>6</v>
      </c>
      <c r="AZ1" s="26" t="s">
        <v>33</v>
      </c>
      <c r="BA1" s="29" t="s">
        <v>34</v>
      </c>
      <c r="BB1" s="5" t="s">
        <v>6</v>
      </c>
      <c r="BC1" s="26" t="s">
        <v>35</v>
      </c>
      <c r="BD1" s="5" t="s">
        <v>6</v>
      </c>
      <c r="BE1" s="26" t="s">
        <v>36</v>
      </c>
      <c r="BF1" s="29" t="s">
        <v>37</v>
      </c>
      <c r="BG1" s="5" t="s">
        <v>6</v>
      </c>
      <c r="BH1" s="26" t="s">
        <v>38</v>
      </c>
      <c r="BI1" s="5" t="s">
        <v>6</v>
      </c>
      <c r="BJ1" s="26" t="s">
        <v>39</v>
      </c>
      <c r="BK1" s="19" t="s">
        <v>40</v>
      </c>
      <c r="BL1" s="5" t="s">
        <v>6</v>
      </c>
      <c r="BM1" s="26" t="s">
        <v>41</v>
      </c>
      <c r="BN1" s="5" t="s">
        <v>6</v>
      </c>
      <c r="BO1" s="26" t="s">
        <v>42</v>
      </c>
      <c r="BP1" s="19" t="s">
        <v>43</v>
      </c>
      <c r="BQ1" s="5" t="s">
        <v>6</v>
      </c>
      <c r="BR1" s="26" t="s">
        <v>44</v>
      </c>
      <c r="BS1" s="5" t="s">
        <v>6</v>
      </c>
      <c r="BT1" s="26" t="s">
        <v>45</v>
      </c>
      <c r="BU1" s="19" t="s">
        <v>46</v>
      </c>
      <c r="BV1" s="5" t="s">
        <v>6</v>
      </c>
      <c r="BW1" s="26" t="s">
        <v>47</v>
      </c>
      <c r="BX1" s="5" t="s">
        <v>6</v>
      </c>
      <c r="BY1" s="26" t="s">
        <v>48</v>
      </c>
      <c r="BZ1" s="19" t="s">
        <v>49</v>
      </c>
      <c r="CA1" s="5" t="s">
        <v>6</v>
      </c>
      <c r="CB1" s="26" t="s">
        <v>50</v>
      </c>
      <c r="CC1" s="5" t="s">
        <v>6</v>
      </c>
      <c r="CD1" s="26" t="s">
        <v>51</v>
      </c>
      <c r="CE1" s="19" t="s">
        <v>52</v>
      </c>
      <c r="CF1" s="31" t="s">
        <v>53</v>
      </c>
      <c r="CG1" s="22" t="s">
        <v>54</v>
      </c>
      <c r="CH1" s="19" t="s">
        <v>55</v>
      </c>
      <c r="CI1" s="22" t="s">
        <v>56</v>
      </c>
      <c r="CJ1" t="s">
        <v>57</v>
      </c>
    </row>
    <row r="2" s="1" customFormat="1" spans="1:87">
      <c r="A2" s="1">
        <v>0</v>
      </c>
      <c r="B2" s="1" t="s">
        <v>58</v>
      </c>
      <c r="C2" s="1" t="s">
        <v>59</v>
      </c>
      <c r="F2" s="1">
        <v>0.0002837</v>
      </c>
      <c r="G2" s="1" t="s">
        <v>60</v>
      </c>
      <c r="H2" s="9">
        <v>1.1304</v>
      </c>
      <c r="I2" s="13" t="s">
        <v>61</v>
      </c>
      <c r="J2" s="14">
        <v>88924</v>
      </c>
      <c r="K2" s="1" t="s">
        <v>61</v>
      </c>
      <c r="L2" s="1">
        <f>AVERAGE(L3:L32)</f>
        <v>1656.1240879304</v>
      </c>
      <c r="M2" s="1" t="s">
        <v>61</v>
      </c>
      <c r="N2" s="1">
        <f>AVERAGE(N3:N32)</f>
        <v>2455.0200351198</v>
      </c>
      <c r="O2" s="1">
        <f t="shared" ref="O2:O24" si="0">(N2-L2)/L2</f>
        <v>0.482388942357425</v>
      </c>
      <c r="P2" s="1" t="s">
        <v>61</v>
      </c>
      <c r="R2" s="1" t="s">
        <v>61</v>
      </c>
      <c r="S2" s="1">
        <f>AVERAGE(S3:S32)</f>
        <v>21.4102480813</v>
      </c>
      <c r="T2" s="1">
        <f>AVERAGE(T3:T32)</f>
        <v>2.24010541903331</v>
      </c>
      <c r="U2" s="1">
        <f>0.5*(0.5*(O2+1)+0.5*(T2+1))</f>
        <v>1.18062359034768</v>
      </c>
      <c r="V2" s="1" t="s">
        <v>61</v>
      </c>
      <c r="W2" s="1">
        <f>AVERAGE(W3:W32)</f>
        <v>1322.65882752019</v>
      </c>
      <c r="X2" s="1" t="s">
        <v>61</v>
      </c>
      <c r="Y2" s="1">
        <f>AVERAGE(Y3:Y32)</f>
        <v>1262.12739646266</v>
      </c>
      <c r="Z2" s="1" t="s">
        <v>61</v>
      </c>
      <c r="AA2" s="1">
        <f>AVERAGE(AA3:AA32)</f>
        <v>1399.75300871396</v>
      </c>
      <c r="AB2" s="1" t="s">
        <v>61</v>
      </c>
      <c r="AC2" s="1">
        <f>AVERAGE(AC3:AC32)</f>
        <v>1200.08837538587</v>
      </c>
      <c r="AD2" s="1" t="s">
        <v>61</v>
      </c>
      <c r="AE2" s="1">
        <f>AVERAGE(AE3:AE32)</f>
        <v>1441.62212034547</v>
      </c>
      <c r="AF2" s="1" t="s">
        <v>61</v>
      </c>
      <c r="AG2" s="1">
        <f t="shared" ref="AG2:AG65" si="1">(W2+Y2+AA2+AC2+AE2)/5</f>
        <v>1325.24994568563</v>
      </c>
      <c r="AH2" s="1">
        <f>AVERAGE(AH3:AH32)</f>
        <v>1426.29083771679</v>
      </c>
      <c r="AI2" s="1">
        <f t="shared" ref="AI2:AI65" si="2">STDEVPA(W2,Y2,AA2,AC2,AE2)</f>
        <v>88.0338323933691</v>
      </c>
      <c r="AJ2" s="1">
        <f>(AH2-AI2)/AH2</f>
        <v>0.93827778313833</v>
      </c>
      <c r="AK2" s="1" t="s">
        <v>61</v>
      </c>
      <c r="AL2" s="1">
        <v>1135</v>
      </c>
      <c r="AM2" s="1" t="s">
        <v>61</v>
      </c>
      <c r="AN2" s="1">
        <f>AVERAGE(AN3:AN32)</f>
        <v>1380.73275815801</v>
      </c>
      <c r="AO2" s="1">
        <f>AVERAGE(AO3:AO32)</f>
        <v>4.14119010496476</v>
      </c>
      <c r="AP2" s="1" t="s">
        <v>61</v>
      </c>
      <c r="AQ2" s="1">
        <v>1135</v>
      </c>
      <c r="AR2" s="1">
        <f>AVERAGE(AR3:AR32)</f>
        <v>2.10902323878583</v>
      </c>
      <c r="AS2" s="1" t="s">
        <v>61</v>
      </c>
      <c r="AT2" s="1">
        <v>1135</v>
      </c>
      <c r="AU2" s="1">
        <f>AVERAGE(AU3:AU32)</f>
        <v>2.94973898059925</v>
      </c>
      <c r="AV2" s="1" t="s">
        <v>61</v>
      </c>
      <c r="AW2" s="1">
        <v>1135</v>
      </c>
      <c r="AX2" s="1">
        <f>AVERAGE(AX3:AX32)</f>
        <v>2.67380545054355</v>
      </c>
      <c r="AY2" s="1" t="s">
        <v>61</v>
      </c>
      <c r="AZ2" s="1">
        <v>1135</v>
      </c>
      <c r="BA2" s="1">
        <f>AVERAGE(BA3:BA32)</f>
        <v>2.44588412500595</v>
      </c>
      <c r="BB2" s="1" t="s">
        <v>61</v>
      </c>
      <c r="BC2" s="1">
        <v>182</v>
      </c>
      <c r="BD2" s="1" t="s">
        <v>61</v>
      </c>
      <c r="BE2" s="1">
        <v>3110</v>
      </c>
      <c r="BF2" s="1">
        <v>1.109</v>
      </c>
      <c r="BG2" s="1" t="s">
        <v>61</v>
      </c>
      <c r="BH2" s="1">
        <f t="shared" ref="BH2:BM2" si="3">AVERAGE(BH3:BH32)</f>
        <v>802.440245792667</v>
      </c>
      <c r="BI2" s="1" t="s">
        <v>61</v>
      </c>
      <c r="BJ2" s="1">
        <f t="shared" si="3"/>
        <v>1696.72134205207</v>
      </c>
      <c r="BK2" s="1">
        <f>BH2/BJ2</f>
        <v>0.472935788514434</v>
      </c>
      <c r="BL2" s="1" t="s">
        <v>61</v>
      </c>
      <c r="BM2" s="1">
        <f t="shared" si="3"/>
        <v>234.367136031333</v>
      </c>
      <c r="BN2" s="1" t="s">
        <v>61</v>
      </c>
      <c r="BO2" s="1">
        <f>AVERAGE(BO3:BO32)</f>
        <v>1426.46163544458</v>
      </c>
      <c r="BP2" s="1">
        <f>BM2/BO2</f>
        <v>0.164299642000739</v>
      </c>
      <c r="BQ2" s="1" t="s">
        <v>61</v>
      </c>
      <c r="BR2" s="1">
        <f t="shared" ref="BR2:BW2" si="4">AVERAGE(BR3:BR32)</f>
        <v>318.90674723</v>
      </c>
      <c r="BS2" s="1" t="s">
        <v>61</v>
      </c>
      <c r="BT2" s="1">
        <f t="shared" si="4"/>
        <v>1566.82369880701</v>
      </c>
      <c r="BU2" s="1">
        <f>BR2/BT2</f>
        <v>0.20353709704086</v>
      </c>
      <c r="BV2" s="1" t="s">
        <v>61</v>
      </c>
      <c r="BW2" s="1">
        <f t="shared" si="4"/>
        <v>256.439974976</v>
      </c>
      <c r="BX2" s="1" t="s">
        <v>61</v>
      </c>
      <c r="BY2" s="1">
        <f>AVERAGE(BY3:BY32)</f>
        <v>1464.56979012861</v>
      </c>
      <c r="BZ2" s="1">
        <f>BW2/BY2</f>
        <v>0.175095769900785</v>
      </c>
      <c r="CA2" s="1" t="s">
        <v>61</v>
      </c>
      <c r="CB2" s="1">
        <f>AVERAGE(CB3:CB32)</f>
        <v>246.559085885333</v>
      </c>
      <c r="CC2" s="1" t="s">
        <v>61</v>
      </c>
      <c r="CD2" s="1">
        <f>AVERAGE(CD3:CD32)</f>
        <v>1446.52010296725</v>
      </c>
      <c r="CE2" s="1">
        <f>CB2/CD2</f>
        <v>0.170449816341692</v>
      </c>
      <c r="CF2" s="1">
        <f>BH2/BJ2</f>
        <v>0.472935788514434</v>
      </c>
      <c r="CG2" s="1">
        <f>1/5*((AO2-BF2)*BK2+((AR2-BF2)*BP2+((AU2-BF2)*BU2+((AX2-BF2)*BZ2+((BA2-BF2)*CE2)*AN2))))</f>
        <v>63.375368182381</v>
      </c>
      <c r="CH2" s="32">
        <v>0.0834</v>
      </c>
      <c r="CI2" s="1">
        <f>U2*AJ2*CG2/CH2</f>
        <v>841.777541325515</v>
      </c>
    </row>
    <row r="3" s="1" customFormat="1" spans="1:88">
      <c r="A3" s="1">
        <v>1</v>
      </c>
      <c r="B3" s="6" t="s">
        <v>62</v>
      </c>
      <c r="C3" s="6" t="s">
        <v>62</v>
      </c>
      <c r="D3" s="1" t="s">
        <v>63</v>
      </c>
      <c r="E3" s="10">
        <v>0.2634</v>
      </c>
      <c r="F3" s="1">
        <v>0.02360064</v>
      </c>
      <c r="G3" s="1" t="s">
        <v>64</v>
      </c>
      <c r="H3" s="9">
        <v>1.1296</v>
      </c>
      <c r="I3" s="13" t="s">
        <v>61</v>
      </c>
      <c r="J3" s="14">
        <v>88924</v>
      </c>
      <c r="K3" s="1" t="s">
        <v>61</v>
      </c>
      <c r="L3" s="15">
        <v>1183</v>
      </c>
      <c r="M3" s="1" t="s">
        <v>61</v>
      </c>
      <c r="N3" s="15">
        <v>1245.6</v>
      </c>
      <c r="O3" s="1">
        <f t="shared" si="0"/>
        <v>0.0529163144547759</v>
      </c>
      <c r="P3" s="1" t="s">
        <v>61</v>
      </c>
      <c r="Q3" s="1">
        <f>19.867*E3</f>
        <v>5.2329678</v>
      </c>
      <c r="R3" s="1" t="s">
        <v>61</v>
      </c>
      <c r="S3" s="1">
        <f t="shared" ref="S3:S12" si="5">9.155*E3</f>
        <v>2.411427</v>
      </c>
      <c r="T3" s="1">
        <f t="shared" ref="T3:T32" si="6">(S3-Q3)/Q3</f>
        <v>-0.539185584134494</v>
      </c>
      <c r="U3" s="1">
        <f t="shared" ref="U3:U32" si="7">0.5*(0.5*(O3+1)+0.5*(T3+1))</f>
        <v>0.37843268258007</v>
      </c>
      <c r="V3" s="1" t="s">
        <v>61</v>
      </c>
      <c r="W3" s="1">
        <f>5844.941*E3</f>
        <v>1539.5574594</v>
      </c>
      <c r="X3" s="1" t="s">
        <v>61</v>
      </c>
      <c r="Y3" s="1">
        <f>6107.671*E3</f>
        <v>1608.7605414</v>
      </c>
      <c r="Z3" s="1" t="s">
        <v>61</v>
      </c>
      <c r="AA3" s="1">
        <f>4656.326*E3</f>
        <v>1226.4762684</v>
      </c>
      <c r="AB3" s="1" t="s">
        <v>61</v>
      </c>
      <c r="AC3" s="1">
        <f>4690.52*E3</f>
        <v>1235.482968</v>
      </c>
      <c r="AD3" s="1" t="s">
        <v>61</v>
      </c>
      <c r="AE3" s="1">
        <f>4370.78*E3</f>
        <v>1151.263452</v>
      </c>
      <c r="AF3" s="1" t="s">
        <v>61</v>
      </c>
      <c r="AG3" s="1">
        <f t="shared" si="1"/>
        <v>1352.30813784</v>
      </c>
      <c r="AH3" s="1">
        <v>1178.94558036</v>
      </c>
      <c r="AI3" s="1">
        <f t="shared" si="2"/>
        <v>184.786844280536</v>
      </c>
      <c r="AJ3" s="1">
        <f t="shared" ref="AJ3:AJ32" si="8">(AH3-AI3)/AH3</f>
        <v>0.843260921149465</v>
      </c>
      <c r="AK3" s="1" t="s">
        <v>61</v>
      </c>
      <c r="AL3" s="1">
        <v>2457.4</v>
      </c>
      <c r="AM3" s="1" t="s">
        <v>61</v>
      </c>
      <c r="AN3" s="1">
        <v>378.6371794</v>
      </c>
      <c r="AO3" s="1">
        <f t="shared" ref="AO3:AO25" si="9">AL3/AN3</f>
        <v>6.49011807000589</v>
      </c>
      <c r="AP3" s="1" t="s">
        <v>61</v>
      </c>
      <c r="AQ3" s="1">
        <v>2699.8</v>
      </c>
      <c r="AR3" s="1">
        <f>AQ3/AC3</f>
        <v>2.18521830727496</v>
      </c>
      <c r="AS3" s="1" t="s">
        <v>61</v>
      </c>
      <c r="AT3" s="1">
        <f>13848.66*E3</f>
        <v>3647.737044</v>
      </c>
      <c r="AU3" s="1">
        <f>AT3/AA3</f>
        <v>2.97416031437661</v>
      </c>
      <c r="AV3" s="1" t="s">
        <v>61</v>
      </c>
      <c r="AW3" s="1">
        <f>12356.283*E3</f>
        <v>3254.6449422</v>
      </c>
      <c r="AX3" s="1">
        <f>AW3/Y3</f>
        <v>2.02307606287241</v>
      </c>
      <c r="AY3" s="1" t="s">
        <v>61</v>
      </c>
      <c r="AZ3" s="1">
        <f>11735.695*E3</f>
        <v>3091.182063</v>
      </c>
      <c r="BA3" s="1">
        <f>AZ3/W3</f>
        <v>2.00783806029864</v>
      </c>
      <c r="BB3" s="1" t="s">
        <v>61</v>
      </c>
      <c r="BC3" s="1">
        <v>182</v>
      </c>
      <c r="BD3" s="1" t="s">
        <v>61</v>
      </c>
      <c r="BE3" s="1">
        <v>3110</v>
      </c>
      <c r="BF3" s="1">
        <v>1.109</v>
      </c>
      <c r="BG3" s="1" t="s">
        <v>61</v>
      </c>
      <c r="BH3" s="1">
        <f>608.1*E3</f>
        <v>160.17354</v>
      </c>
      <c r="BI3" s="1" t="s">
        <v>61</v>
      </c>
      <c r="BJ3" s="1">
        <f>4260.419*E3</f>
        <v>1122.1943646</v>
      </c>
      <c r="BK3" s="1">
        <f t="shared" ref="BK3:BK32" si="10">BH3/BJ3</f>
        <v>0.142732440166096</v>
      </c>
      <c r="BL3" s="1" t="s">
        <v>61</v>
      </c>
      <c r="BM3" s="1">
        <f>756.3*E3</f>
        <v>199.20942</v>
      </c>
      <c r="BN3" s="1" t="s">
        <v>61</v>
      </c>
      <c r="BO3" s="1">
        <f>4870.223*E3</f>
        <v>1282.8167382</v>
      </c>
      <c r="BP3" s="1">
        <f t="shared" ref="BP3:BP32" si="11">BM3/BO3</f>
        <v>0.155290630429038</v>
      </c>
      <c r="BQ3" s="1" t="s">
        <v>61</v>
      </c>
      <c r="BR3" s="1">
        <f>700.5*E3</f>
        <v>184.5117</v>
      </c>
      <c r="BS3" s="1" t="s">
        <v>61</v>
      </c>
      <c r="BT3" s="1">
        <f>4420.379*E3</f>
        <v>1164.3278286</v>
      </c>
      <c r="BU3" s="1">
        <f t="shared" ref="BU3:BU32" si="12">BR3/BT3</f>
        <v>0.158470574581953</v>
      </c>
      <c r="BV3" s="1" t="s">
        <v>61</v>
      </c>
      <c r="BW3" s="1">
        <f>305.6*E3</f>
        <v>80.49504</v>
      </c>
      <c r="BX3" s="1" t="s">
        <v>61</v>
      </c>
      <c r="BY3" s="1">
        <f>5345.339*E3</f>
        <v>1407.9622926</v>
      </c>
      <c r="BZ3" s="1">
        <f t="shared" ref="BZ3:BZ32" si="13">BW3/BY3</f>
        <v>0.0571713038218904</v>
      </c>
      <c r="CA3" s="1" t="s">
        <v>61</v>
      </c>
      <c r="CB3" s="1">
        <f>571.2*E3</f>
        <v>150.45408</v>
      </c>
      <c r="CC3" s="1" t="s">
        <v>61</v>
      </c>
      <c r="CD3" s="1">
        <f>4718.752*E3</f>
        <v>1242.9192768</v>
      </c>
      <c r="CE3" s="1">
        <f t="shared" ref="CE3:CE32" si="14">CB3/CD3</f>
        <v>0.121048955316999</v>
      </c>
      <c r="CF3" s="1">
        <f t="shared" ref="CF3:CF32" si="15">BH3/BJ3</f>
        <v>0.142732440166096</v>
      </c>
      <c r="CG3" s="1">
        <f t="shared" ref="CG3:CG32" si="16">1/5*((AO3-BF3)*BK3+((AR3-BF3)*BP3+((AU3-BF3)*BU3+((AX3-BF3)*BZ3+((BA3-BF3)*CE3)*AN3))))</f>
        <v>8.49600685373953</v>
      </c>
      <c r="CH3" s="32">
        <v>0.0834</v>
      </c>
      <c r="CI3" s="1">
        <f t="shared" ref="CI3:CI32" si="17">U3*AJ3*CG3/CH3</f>
        <v>32.5086858929878</v>
      </c>
      <c r="CJ3" s="10">
        <v>0.6342</v>
      </c>
    </row>
    <row r="4" s="1" customFormat="1" spans="1:87">
      <c r="A4" s="1">
        <v>2</v>
      </c>
      <c r="B4" s="6" t="s">
        <v>65</v>
      </c>
      <c r="C4" s="6" t="s">
        <v>65</v>
      </c>
      <c r="D4" s="1" t="s">
        <v>63</v>
      </c>
      <c r="E4" s="10">
        <v>0.1621</v>
      </c>
      <c r="F4" s="1">
        <v>0.01452416</v>
      </c>
      <c r="G4" s="1" t="s">
        <v>66</v>
      </c>
      <c r="H4" s="9">
        <v>1.0911</v>
      </c>
      <c r="I4" s="13" t="s">
        <v>61</v>
      </c>
      <c r="J4" s="14">
        <v>88924</v>
      </c>
      <c r="K4" s="1" t="s">
        <v>61</v>
      </c>
      <c r="L4" s="15">
        <v>1033.6</v>
      </c>
      <c r="M4" s="1" t="s">
        <v>61</v>
      </c>
      <c r="N4" s="15">
        <v>897.2</v>
      </c>
      <c r="O4" s="1">
        <f t="shared" si="0"/>
        <v>-0.131965944272446</v>
      </c>
      <c r="P4" s="1" t="s">
        <v>61</v>
      </c>
      <c r="Q4" s="1">
        <f t="shared" ref="Q4:Q12" si="18">19.867*E4</f>
        <v>3.2204407</v>
      </c>
      <c r="R4" s="1" t="s">
        <v>61</v>
      </c>
      <c r="S4" s="1">
        <f t="shared" si="5"/>
        <v>1.4840255</v>
      </c>
      <c r="T4" s="1">
        <f t="shared" si="6"/>
        <v>-0.539185584134494</v>
      </c>
      <c r="U4" s="1">
        <f t="shared" si="7"/>
        <v>0.332212117898265</v>
      </c>
      <c r="V4" s="1" t="s">
        <v>61</v>
      </c>
      <c r="W4" s="1">
        <f t="shared" ref="W4:W12" si="19">5844.941*E4</f>
        <v>947.4649361</v>
      </c>
      <c r="X4" s="1" t="s">
        <v>61</v>
      </c>
      <c r="Y4" s="1">
        <f t="shared" ref="Y4:Y12" si="20">6107.671*E4</f>
        <v>990.0534691</v>
      </c>
      <c r="Z4" s="1" t="s">
        <v>61</v>
      </c>
      <c r="AA4" s="1">
        <f t="shared" ref="AA4:AA12" si="21">4656.326*E4</f>
        <v>754.7904446</v>
      </c>
      <c r="AB4" s="1" t="s">
        <v>61</v>
      </c>
      <c r="AC4" s="1">
        <f t="shared" ref="AC4:AC12" si="22">4690.52*E4</f>
        <v>760.333292</v>
      </c>
      <c r="AD4" s="1" t="s">
        <v>61</v>
      </c>
      <c r="AE4" s="1">
        <f t="shared" ref="AE4:AE12" si="23">4370.78*E4</f>
        <v>708.503438</v>
      </c>
      <c r="AF4" s="1" t="s">
        <v>61</v>
      </c>
      <c r="AG4" s="1">
        <f t="shared" si="1"/>
        <v>832.22911596</v>
      </c>
      <c r="AH4" s="1">
        <v>725.53940234</v>
      </c>
      <c r="AI4" s="1">
        <f t="shared" si="2"/>
        <v>113.72037759254</v>
      </c>
      <c r="AJ4" s="1">
        <f t="shared" si="8"/>
        <v>0.843260921149465</v>
      </c>
      <c r="AK4" s="1" t="s">
        <v>61</v>
      </c>
      <c r="AL4" s="1">
        <v>1513</v>
      </c>
      <c r="AM4" s="1" t="s">
        <v>61</v>
      </c>
      <c r="AN4" s="1">
        <v>378.6371794</v>
      </c>
      <c r="AO4" s="1">
        <f t="shared" si="9"/>
        <v>3.99590975824811</v>
      </c>
      <c r="AP4" s="1" t="s">
        <v>61</v>
      </c>
      <c r="AQ4" s="1">
        <v>1768.8</v>
      </c>
      <c r="AR4" s="1">
        <f t="shared" ref="AR4:AR32" si="24">AQ4/AC4</f>
        <v>2.32634821940692</v>
      </c>
      <c r="AS4" s="1" t="s">
        <v>61</v>
      </c>
      <c r="AT4" s="1">
        <f t="shared" ref="AT4:AT12" si="25">13848.66*E4</f>
        <v>2244.867786</v>
      </c>
      <c r="AU4" s="1">
        <f t="shared" ref="AU4:AU32" si="26">AT4/AA4</f>
        <v>2.97416031437661</v>
      </c>
      <c r="AV4" s="1" t="s">
        <v>61</v>
      </c>
      <c r="AW4" s="1">
        <f t="shared" ref="AW4:AW12" si="27">12356.283*E4</f>
        <v>2002.9534743</v>
      </c>
      <c r="AX4" s="1">
        <f t="shared" ref="AX4:AX32" si="28">AW4/Y4</f>
        <v>2.02307606287241</v>
      </c>
      <c r="AY4" s="1" t="s">
        <v>61</v>
      </c>
      <c r="AZ4" s="1">
        <f t="shared" ref="AZ4:AZ12" si="29">11735.695*E4</f>
        <v>1902.3561595</v>
      </c>
      <c r="BA4" s="1">
        <f t="shared" ref="BA4:BA32" si="30">AZ4/W4</f>
        <v>2.00783806029864</v>
      </c>
      <c r="BB4" s="1" t="s">
        <v>61</v>
      </c>
      <c r="BC4" s="1">
        <v>182</v>
      </c>
      <c r="BD4" s="1" t="s">
        <v>61</v>
      </c>
      <c r="BE4" s="1">
        <v>3110</v>
      </c>
      <c r="BF4" s="1">
        <v>1.109</v>
      </c>
      <c r="BG4" s="1" t="s">
        <v>61</v>
      </c>
      <c r="BH4" s="1">
        <f t="shared" ref="BH4:BH12" si="31">608.1*E4</f>
        <v>98.57301</v>
      </c>
      <c r="BI4" s="1" t="s">
        <v>61</v>
      </c>
      <c r="BJ4" s="1">
        <f t="shared" ref="BJ4:BJ12" si="32">4260.419*E4</f>
        <v>690.6139199</v>
      </c>
      <c r="BK4" s="1">
        <f t="shared" si="10"/>
        <v>0.142732440166096</v>
      </c>
      <c r="BL4" s="1" t="s">
        <v>61</v>
      </c>
      <c r="BM4" s="1">
        <f t="shared" ref="BM4:BM12" si="33">756.3*E4</f>
        <v>122.59623</v>
      </c>
      <c r="BN4" s="1" t="s">
        <v>61</v>
      </c>
      <c r="BO4" s="1">
        <f t="shared" ref="BO4:BO12" si="34">4870.223*E4</f>
        <v>789.4631483</v>
      </c>
      <c r="BP4" s="1">
        <f t="shared" si="11"/>
        <v>0.155290630429038</v>
      </c>
      <c r="BQ4" s="1" t="s">
        <v>61</v>
      </c>
      <c r="BR4" s="1">
        <f t="shared" ref="BR4:BR12" si="35">700.5*E4</f>
        <v>113.55105</v>
      </c>
      <c r="BS4" s="1" t="s">
        <v>61</v>
      </c>
      <c r="BT4" s="1">
        <f t="shared" ref="BT4:BT12" si="36">4420.379*E4</f>
        <v>716.5434359</v>
      </c>
      <c r="BU4" s="1">
        <f t="shared" si="12"/>
        <v>0.158470574581953</v>
      </c>
      <c r="BV4" s="1" t="s">
        <v>61</v>
      </c>
      <c r="BW4" s="1">
        <f t="shared" ref="BW4:BW12" si="37">305.6*E4</f>
        <v>49.53776</v>
      </c>
      <c r="BX4" s="1" t="s">
        <v>61</v>
      </c>
      <c r="BY4" s="1">
        <f t="shared" ref="BY4:BY12" si="38">5345.339*E4</f>
        <v>866.4794519</v>
      </c>
      <c r="BZ4" s="1">
        <f t="shared" si="13"/>
        <v>0.0571713038218904</v>
      </c>
      <c r="CA4" s="1" t="s">
        <v>61</v>
      </c>
      <c r="CB4" s="1">
        <f t="shared" ref="CB4:CB12" si="39">571.2*E4</f>
        <v>92.59152</v>
      </c>
      <c r="CC4" s="1" t="s">
        <v>61</v>
      </c>
      <c r="CD4" s="1">
        <f t="shared" ref="CD4:CD12" si="40">4718.752*E4</f>
        <v>764.9096992</v>
      </c>
      <c r="CE4" s="1">
        <f t="shared" si="14"/>
        <v>0.121048955316999</v>
      </c>
      <c r="CF4" s="1">
        <f t="shared" si="15"/>
        <v>0.142732440166096</v>
      </c>
      <c r="CG4" s="1">
        <f t="shared" si="16"/>
        <v>8.42918919662105</v>
      </c>
      <c r="CH4" s="32">
        <v>0.0834</v>
      </c>
      <c r="CI4" s="1">
        <f t="shared" si="17"/>
        <v>28.3137371258308</v>
      </c>
    </row>
    <row r="5" s="1" customFormat="1" spans="1:87">
      <c r="A5" s="1">
        <v>3</v>
      </c>
      <c r="B5" s="6" t="s">
        <v>67</v>
      </c>
      <c r="C5" s="6" t="s">
        <v>67</v>
      </c>
      <c r="D5" s="1" t="s">
        <v>63</v>
      </c>
      <c r="E5" s="10">
        <v>0.3715</v>
      </c>
      <c r="F5" s="1">
        <v>0.0332864</v>
      </c>
      <c r="G5" s="1"/>
      <c r="H5" s="9"/>
      <c r="I5" s="13" t="s">
        <v>61</v>
      </c>
      <c r="J5" s="14">
        <v>88924</v>
      </c>
      <c r="K5" s="1" t="s">
        <v>61</v>
      </c>
      <c r="L5" s="15">
        <v>1683.5</v>
      </c>
      <c r="M5" s="1" t="s">
        <v>61</v>
      </c>
      <c r="N5" s="15">
        <v>1520.7</v>
      </c>
      <c r="O5" s="1">
        <f t="shared" si="0"/>
        <v>-0.0967032967032967</v>
      </c>
      <c r="P5" s="1" t="s">
        <v>61</v>
      </c>
      <c r="Q5" s="1">
        <f t="shared" si="18"/>
        <v>7.3805905</v>
      </c>
      <c r="R5" s="1" t="s">
        <v>61</v>
      </c>
      <c r="S5" s="1">
        <f t="shared" si="5"/>
        <v>3.4010825</v>
      </c>
      <c r="T5" s="1">
        <f t="shared" si="6"/>
        <v>-0.539185584134494</v>
      </c>
      <c r="U5" s="1">
        <f t="shared" si="7"/>
        <v>0.341027779790552</v>
      </c>
      <c r="V5" s="1" t="s">
        <v>61</v>
      </c>
      <c r="W5" s="1">
        <f t="shared" si="19"/>
        <v>2171.3955815</v>
      </c>
      <c r="X5" s="1" t="s">
        <v>61</v>
      </c>
      <c r="Y5" s="1">
        <f t="shared" si="20"/>
        <v>2268.9997765</v>
      </c>
      <c r="Z5" s="1" t="s">
        <v>61</v>
      </c>
      <c r="AA5" s="1">
        <f t="shared" si="21"/>
        <v>1729.825109</v>
      </c>
      <c r="AB5" s="1" t="s">
        <v>61</v>
      </c>
      <c r="AC5" s="1">
        <f t="shared" si="22"/>
        <v>1742.52818</v>
      </c>
      <c r="AD5" s="1" t="s">
        <v>61</v>
      </c>
      <c r="AE5" s="1">
        <f t="shared" si="23"/>
        <v>1623.74477</v>
      </c>
      <c r="AF5" s="1" t="s">
        <v>61</v>
      </c>
      <c r="AG5" s="1">
        <f t="shared" si="1"/>
        <v>1907.2986834</v>
      </c>
      <c r="AH5" s="1">
        <v>1662.7877111</v>
      </c>
      <c r="AI5" s="1">
        <f t="shared" si="2"/>
        <v>260.623814161804</v>
      </c>
      <c r="AJ5" s="1">
        <f t="shared" si="8"/>
        <v>0.843260921149464</v>
      </c>
      <c r="AK5" s="1" t="s">
        <v>61</v>
      </c>
      <c r="AL5" s="1">
        <v>3465.7</v>
      </c>
      <c r="AM5" s="1" t="s">
        <v>61</v>
      </c>
      <c r="AN5" s="1">
        <v>318.25875348</v>
      </c>
      <c r="AO5" s="1">
        <f t="shared" si="9"/>
        <v>10.8895669391786</v>
      </c>
      <c r="AP5" s="1" t="s">
        <v>61</v>
      </c>
      <c r="AQ5" s="1">
        <v>4063.4</v>
      </c>
      <c r="AR5" s="1">
        <f t="shared" si="24"/>
        <v>2.33189916044858</v>
      </c>
      <c r="AS5" s="1" t="s">
        <v>61</v>
      </c>
      <c r="AT5" s="1">
        <f t="shared" si="25"/>
        <v>5144.77719</v>
      </c>
      <c r="AU5" s="1">
        <f t="shared" si="26"/>
        <v>2.97416031437661</v>
      </c>
      <c r="AV5" s="1" t="s">
        <v>61</v>
      </c>
      <c r="AW5" s="1">
        <f t="shared" si="27"/>
        <v>4590.3591345</v>
      </c>
      <c r="AX5" s="1">
        <f t="shared" si="28"/>
        <v>2.02307606287241</v>
      </c>
      <c r="AY5" s="1" t="s">
        <v>61</v>
      </c>
      <c r="AZ5" s="1">
        <f t="shared" si="29"/>
        <v>4359.8106925</v>
      </c>
      <c r="BA5" s="1">
        <f t="shared" si="30"/>
        <v>2.00783806029864</v>
      </c>
      <c r="BB5" s="1" t="s">
        <v>61</v>
      </c>
      <c r="BC5" s="1">
        <v>182</v>
      </c>
      <c r="BD5" s="1" t="s">
        <v>61</v>
      </c>
      <c r="BE5" s="1">
        <v>3110</v>
      </c>
      <c r="BF5" s="1">
        <v>1.109</v>
      </c>
      <c r="BG5" s="1" t="s">
        <v>61</v>
      </c>
      <c r="BH5" s="1">
        <f t="shared" si="31"/>
        <v>225.90915</v>
      </c>
      <c r="BI5" s="1" t="s">
        <v>61</v>
      </c>
      <c r="BJ5" s="1">
        <f t="shared" si="32"/>
        <v>1582.7456585</v>
      </c>
      <c r="BK5" s="1">
        <f t="shared" si="10"/>
        <v>0.142732440166096</v>
      </c>
      <c r="BL5" s="1" t="s">
        <v>61</v>
      </c>
      <c r="BM5" s="1">
        <f t="shared" si="33"/>
        <v>280.96545</v>
      </c>
      <c r="BN5" s="1" t="s">
        <v>61</v>
      </c>
      <c r="BO5" s="1">
        <f t="shared" si="34"/>
        <v>1809.2878445</v>
      </c>
      <c r="BP5" s="1">
        <f t="shared" si="11"/>
        <v>0.155290630429038</v>
      </c>
      <c r="BQ5" s="1" t="s">
        <v>61</v>
      </c>
      <c r="BR5" s="1">
        <f t="shared" si="35"/>
        <v>260.23575</v>
      </c>
      <c r="BS5" s="1" t="s">
        <v>61</v>
      </c>
      <c r="BT5" s="1">
        <f t="shared" si="36"/>
        <v>1642.1707985</v>
      </c>
      <c r="BU5" s="1">
        <f t="shared" si="12"/>
        <v>0.158470574581953</v>
      </c>
      <c r="BV5" s="1" t="s">
        <v>61</v>
      </c>
      <c r="BW5" s="1">
        <f t="shared" si="37"/>
        <v>113.5304</v>
      </c>
      <c r="BX5" s="1" t="s">
        <v>61</v>
      </c>
      <c r="BY5" s="1">
        <f t="shared" si="38"/>
        <v>1985.7934385</v>
      </c>
      <c r="BZ5" s="1">
        <f t="shared" si="13"/>
        <v>0.0571713038218904</v>
      </c>
      <c r="CA5" s="1" t="s">
        <v>61</v>
      </c>
      <c r="CB5" s="1">
        <f t="shared" si="39"/>
        <v>212.2008</v>
      </c>
      <c r="CC5" s="1" t="s">
        <v>61</v>
      </c>
      <c r="CD5" s="1">
        <f t="shared" si="40"/>
        <v>1753.016368</v>
      </c>
      <c r="CE5" s="1">
        <f t="shared" si="14"/>
        <v>0.121048955316999</v>
      </c>
      <c r="CF5" s="1">
        <f t="shared" si="15"/>
        <v>0.142732440166096</v>
      </c>
      <c r="CG5" s="1">
        <f t="shared" si="16"/>
        <v>7.31227559631935</v>
      </c>
      <c r="CH5" s="32">
        <v>0.0834</v>
      </c>
      <c r="CI5" s="1">
        <f t="shared" si="17"/>
        <v>25.2137958933054</v>
      </c>
    </row>
    <row r="6" s="1" customFormat="1" spans="1:87">
      <c r="A6" s="1">
        <v>4</v>
      </c>
      <c r="B6" s="6" t="s">
        <v>68</v>
      </c>
      <c r="C6" s="6" t="s">
        <v>68</v>
      </c>
      <c r="D6" s="1" t="s">
        <v>63</v>
      </c>
      <c r="E6" s="10">
        <v>0.07506</v>
      </c>
      <c r="F6" s="1">
        <v>0.006725376</v>
      </c>
      <c r="G6" s="1"/>
      <c r="H6" s="9"/>
      <c r="I6" s="13" t="s">
        <v>61</v>
      </c>
      <c r="J6" s="14">
        <v>88924</v>
      </c>
      <c r="K6" s="1" t="s">
        <v>61</v>
      </c>
      <c r="L6" s="15">
        <f>4968.24*E6</f>
        <v>372.9160944</v>
      </c>
      <c r="M6" s="1" t="s">
        <v>61</v>
      </c>
      <c r="N6" s="15">
        <f>4603.13*E6</f>
        <v>345.5109378</v>
      </c>
      <c r="O6" s="1">
        <f t="shared" si="0"/>
        <v>-0.0734888008630823</v>
      </c>
      <c r="P6" s="1" t="s">
        <v>61</v>
      </c>
      <c r="Q6" s="1">
        <f t="shared" si="18"/>
        <v>1.49121702</v>
      </c>
      <c r="R6" s="1" t="s">
        <v>61</v>
      </c>
      <c r="S6" s="1">
        <f t="shared" si="5"/>
        <v>0.6871743</v>
      </c>
      <c r="T6" s="1">
        <f t="shared" si="6"/>
        <v>-0.539185584134494</v>
      </c>
      <c r="U6" s="1">
        <f t="shared" si="7"/>
        <v>0.346831403750606</v>
      </c>
      <c r="V6" s="1" t="s">
        <v>61</v>
      </c>
      <c r="W6" s="1">
        <f t="shared" si="19"/>
        <v>438.72127146</v>
      </c>
      <c r="X6" s="1" t="s">
        <v>61</v>
      </c>
      <c r="Y6" s="1">
        <f t="shared" si="20"/>
        <v>458.44178526</v>
      </c>
      <c r="Z6" s="1" t="s">
        <v>61</v>
      </c>
      <c r="AA6" s="1">
        <f t="shared" si="21"/>
        <v>349.50382956</v>
      </c>
      <c r="AB6" s="1" t="s">
        <v>61</v>
      </c>
      <c r="AC6" s="1">
        <f t="shared" si="22"/>
        <v>352.0704312</v>
      </c>
      <c r="AD6" s="1" t="s">
        <v>61</v>
      </c>
      <c r="AE6" s="1">
        <f t="shared" si="23"/>
        <v>328.0707468</v>
      </c>
      <c r="AF6" s="1" t="s">
        <v>61</v>
      </c>
      <c r="AG6" s="1">
        <f t="shared" si="1"/>
        <v>385.361612856</v>
      </c>
      <c r="AH6" s="1">
        <v>335.959207524</v>
      </c>
      <c r="AI6" s="1">
        <f t="shared" si="2"/>
        <v>52.6579367186676</v>
      </c>
      <c r="AJ6" s="1">
        <f t="shared" si="8"/>
        <v>0.843260921149465</v>
      </c>
      <c r="AK6" s="1" t="s">
        <v>61</v>
      </c>
      <c r="AL6" s="1">
        <v>693.476</v>
      </c>
      <c r="AM6" s="1" t="s">
        <v>61</v>
      </c>
      <c r="AN6" s="1">
        <v>318.25875348</v>
      </c>
      <c r="AO6" s="1">
        <f t="shared" si="9"/>
        <v>2.17896913256018</v>
      </c>
      <c r="AP6" s="1" t="s">
        <v>61</v>
      </c>
      <c r="AQ6" s="1">
        <f t="shared" ref="AQ6:AQ12" si="41">10488.556*E6</f>
        <v>787.27101336</v>
      </c>
      <c r="AR6" s="1">
        <f t="shared" si="24"/>
        <v>2.23611795707086</v>
      </c>
      <c r="AS6" s="1" t="s">
        <v>61</v>
      </c>
      <c r="AT6" s="1">
        <f t="shared" si="25"/>
        <v>1039.4804196</v>
      </c>
      <c r="AU6" s="1">
        <f t="shared" si="26"/>
        <v>2.97416031437661</v>
      </c>
      <c r="AV6" s="1" t="s">
        <v>61</v>
      </c>
      <c r="AW6" s="1">
        <f t="shared" si="27"/>
        <v>927.46260198</v>
      </c>
      <c r="AX6" s="1">
        <f t="shared" si="28"/>
        <v>2.02307606287241</v>
      </c>
      <c r="AY6" s="1" t="s">
        <v>61</v>
      </c>
      <c r="AZ6" s="1">
        <f t="shared" si="29"/>
        <v>880.8812667</v>
      </c>
      <c r="BA6" s="1">
        <f t="shared" si="30"/>
        <v>2.00783806029864</v>
      </c>
      <c r="BB6" s="1" t="s">
        <v>61</v>
      </c>
      <c r="BC6" s="1">
        <v>182</v>
      </c>
      <c r="BD6" s="1" t="s">
        <v>61</v>
      </c>
      <c r="BE6" s="1">
        <v>3110</v>
      </c>
      <c r="BF6" s="1">
        <v>1.109</v>
      </c>
      <c r="BG6" s="1" t="s">
        <v>61</v>
      </c>
      <c r="BH6" s="1">
        <f t="shared" si="31"/>
        <v>45.643986</v>
      </c>
      <c r="BI6" s="1" t="s">
        <v>61</v>
      </c>
      <c r="BJ6" s="1">
        <f t="shared" si="32"/>
        <v>319.78705014</v>
      </c>
      <c r="BK6" s="1">
        <f t="shared" si="10"/>
        <v>0.142732440166096</v>
      </c>
      <c r="BL6" s="1" t="s">
        <v>61</v>
      </c>
      <c r="BM6" s="1">
        <f t="shared" si="33"/>
        <v>56.767878</v>
      </c>
      <c r="BN6" s="1" t="s">
        <v>61</v>
      </c>
      <c r="BO6" s="1">
        <f t="shared" si="34"/>
        <v>365.55893838</v>
      </c>
      <c r="BP6" s="1">
        <f t="shared" si="11"/>
        <v>0.155290630429038</v>
      </c>
      <c r="BQ6" s="1" t="s">
        <v>61</v>
      </c>
      <c r="BR6" s="1">
        <f t="shared" si="35"/>
        <v>52.57953</v>
      </c>
      <c r="BS6" s="1" t="s">
        <v>61</v>
      </c>
      <c r="BT6" s="1">
        <f t="shared" si="36"/>
        <v>331.79364774</v>
      </c>
      <c r="BU6" s="1">
        <f t="shared" si="12"/>
        <v>0.158470574581953</v>
      </c>
      <c r="BV6" s="1" t="s">
        <v>61</v>
      </c>
      <c r="BW6" s="1">
        <f t="shared" si="37"/>
        <v>22.938336</v>
      </c>
      <c r="BX6" s="1" t="s">
        <v>61</v>
      </c>
      <c r="BY6" s="1">
        <f t="shared" si="38"/>
        <v>401.22114534</v>
      </c>
      <c r="BZ6" s="1">
        <f t="shared" si="13"/>
        <v>0.0571713038218904</v>
      </c>
      <c r="CA6" s="1" t="s">
        <v>61</v>
      </c>
      <c r="CB6" s="1">
        <f t="shared" si="39"/>
        <v>42.874272</v>
      </c>
      <c r="CC6" s="1" t="s">
        <v>61</v>
      </c>
      <c r="CD6" s="1">
        <f t="shared" si="40"/>
        <v>354.18952512</v>
      </c>
      <c r="CE6" s="1">
        <f t="shared" si="14"/>
        <v>0.121048955316999</v>
      </c>
      <c r="CF6" s="1">
        <f t="shared" si="15"/>
        <v>0.142732440166096</v>
      </c>
      <c r="CG6" s="1">
        <f t="shared" si="16"/>
        <v>7.06064383557938</v>
      </c>
      <c r="CH6" s="32">
        <v>0.0834</v>
      </c>
      <c r="CI6" s="1">
        <f t="shared" si="17"/>
        <v>24.7604562038171</v>
      </c>
    </row>
    <row r="7" s="1" customFormat="1" spans="1:87">
      <c r="A7" s="1">
        <v>5</v>
      </c>
      <c r="B7" s="6" t="s">
        <v>69</v>
      </c>
      <c r="C7" s="6" t="s">
        <v>69</v>
      </c>
      <c r="D7" s="1" t="s">
        <v>63</v>
      </c>
      <c r="E7" s="10">
        <v>0.07506</v>
      </c>
      <c r="F7" s="1">
        <v>0.006725376</v>
      </c>
      <c r="G7" s="1"/>
      <c r="H7" s="9"/>
      <c r="I7" s="13" t="s">
        <v>61</v>
      </c>
      <c r="J7" s="14">
        <v>88924</v>
      </c>
      <c r="K7" s="1" t="s">
        <v>61</v>
      </c>
      <c r="L7" s="15">
        <f>4968.24*E7</f>
        <v>372.9160944</v>
      </c>
      <c r="M7" s="1" t="s">
        <v>61</v>
      </c>
      <c r="N7" s="15">
        <f>4603.13*E7</f>
        <v>345.5109378</v>
      </c>
      <c r="O7" s="1">
        <f t="shared" si="0"/>
        <v>-0.0734888008630823</v>
      </c>
      <c r="P7" s="1" t="s">
        <v>61</v>
      </c>
      <c r="Q7" s="1">
        <f t="shared" si="18"/>
        <v>1.49121702</v>
      </c>
      <c r="R7" s="1" t="s">
        <v>61</v>
      </c>
      <c r="S7" s="1">
        <f t="shared" si="5"/>
        <v>0.6871743</v>
      </c>
      <c r="T7" s="1">
        <f t="shared" si="6"/>
        <v>-0.539185584134494</v>
      </c>
      <c r="U7" s="1">
        <f t="shared" si="7"/>
        <v>0.346831403750606</v>
      </c>
      <c r="V7" s="1" t="s">
        <v>61</v>
      </c>
      <c r="W7" s="1">
        <f t="shared" si="19"/>
        <v>438.72127146</v>
      </c>
      <c r="X7" s="1" t="s">
        <v>61</v>
      </c>
      <c r="Y7" s="1">
        <f t="shared" si="20"/>
        <v>458.44178526</v>
      </c>
      <c r="Z7" s="1" t="s">
        <v>61</v>
      </c>
      <c r="AA7" s="1">
        <f t="shared" si="21"/>
        <v>349.50382956</v>
      </c>
      <c r="AB7" s="1" t="s">
        <v>61</v>
      </c>
      <c r="AC7" s="1">
        <f t="shared" si="22"/>
        <v>352.0704312</v>
      </c>
      <c r="AD7" s="1" t="s">
        <v>61</v>
      </c>
      <c r="AE7" s="1">
        <f t="shared" si="23"/>
        <v>328.0707468</v>
      </c>
      <c r="AF7" s="1" t="s">
        <v>61</v>
      </c>
      <c r="AG7" s="1">
        <f t="shared" si="1"/>
        <v>385.361612856</v>
      </c>
      <c r="AH7" s="1">
        <v>335.959207524</v>
      </c>
      <c r="AI7" s="1">
        <f t="shared" si="2"/>
        <v>52.6579367186676</v>
      </c>
      <c r="AJ7" s="1">
        <f t="shared" si="8"/>
        <v>0.843260921149465</v>
      </c>
      <c r="AK7" s="1" t="s">
        <v>61</v>
      </c>
      <c r="AL7" s="1">
        <v>693.476</v>
      </c>
      <c r="AM7" s="1" t="s">
        <v>61</v>
      </c>
      <c r="AN7" s="1">
        <v>318.25875348</v>
      </c>
      <c r="AO7" s="1">
        <f t="shared" si="9"/>
        <v>2.17896913256018</v>
      </c>
      <c r="AP7" s="1" t="s">
        <v>61</v>
      </c>
      <c r="AQ7" s="1">
        <f t="shared" si="41"/>
        <v>787.27101336</v>
      </c>
      <c r="AR7" s="1">
        <f t="shared" si="24"/>
        <v>2.23611795707086</v>
      </c>
      <c r="AS7" s="1" t="s">
        <v>61</v>
      </c>
      <c r="AT7" s="1">
        <f t="shared" si="25"/>
        <v>1039.4804196</v>
      </c>
      <c r="AU7" s="1">
        <f t="shared" si="26"/>
        <v>2.97416031437661</v>
      </c>
      <c r="AV7" s="1" t="s">
        <v>61</v>
      </c>
      <c r="AW7" s="1">
        <f t="shared" si="27"/>
        <v>927.46260198</v>
      </c>
      <c r="AX7" s="1">
        <f t="shared" si="28"/>
        <v>2.02307606287241</v>
      </c>
      <c r="AY7" s="1" t="s">
        <v>61</v>
      </c>
      <c r="AZ7" s="1">
        <f t="shared" si="29"/>
        <v>880.8812667</v>
      </c>
      <c r="BA7" s="1">
        <f t="shared" si="30"/>
        <v>2.00783806029864</v>
      </c>
      <c r="BB7" s="1" t="s">
        <v>61</v>
      </c>
      <c r="BC7" s="1">
        <v>182</v>
      </c>
      <c r="BD7" s="1" t="s">
        <v>61</v>
      </c>
      <c r="BE7" s="1">
        <v>3110</v>
      </c>
      <c r="BF7" s="1">
        <v>1.109</v>
      </c>
      <c r="BG7" s="1" t="s">
        <v>61</v>
      </c>
      <c r="BH7" s="1">
        <f t="shared" si="31"/>
        <v>45.643986</v>
      </c>
      <c r="BI7" s="1" t="s">
        <v>61</v>
      </c>
      <c r="BJ7" s="1">
        <f t="shared" si="32"/>
        <v>319.78705014</v>
      </c>
      <c r="BK7" s="1">
        <f t="shared" si="10"/>
        <v>0.142732440166096</v>
      </c>
      <c r="BL7" s="1" t="s">
        <v>61</v>
      </c>
      <c r="BM7" s="1">
        <f t="shared" si="33"/>
        <v>56.767878</v>
      </c>
      <c r="BN7" s="1" t="s">
        <v>61</v>
      </c>
      <c r="BO7" s="1">
        <f t="shared" si="34"/>
        <v>365.55893838</v>
      </c>
      <c r="BP7" s="1">
        <f t="shared" si="11"/>
        <v>0.155290630429038</v>
      </c>
      <c r="BQ7" s="1" t="s">
        <v>61</v>
      </c>
      <c r="BR7" s="1">
        <f t="shared" si="35"/>
        <v>52.57953</v>
      </c>
      <c r="BS7" s="1" t="s">
        <v>61</v>
      </c>
      <c r="BT7" s="1">
        <f t="shared" si="36"/>
        <v>331.79364774</v>
      </c>
      <c r="BU7" s="1">
        <f t="shared" si="12"/>
        <v>0.158470574581953</v>
      </c>
      <c r="BV7" s="1" t="s">
        <v>61</v>
      </c>
      <c r="BW7" s="1">
        <f t="shared" si="37"/>
        <v>22.938336</v>
      </c>
      <c r="BX7" s="1" t="s">
        <v>61</v>
      </c>
      <c r="BY7" s="1">
        <f t="shared" si="38"/>
        <v>401.22114534</v>
      </c>
      <c r="BZ7" s="1">
        <f t="shared" si="13"/>
        <v>0.0571713038218904</v>
      </c>
      <c r="CA7" s="1" t="s">
        <v>61</v>
      </c>
      <c r="CB7" s="1">
        <f t="shared" si="39"/>
        <v>42.874272</v>
      </c>
      <c r="CC7" s="1" t="s">
        <v>61</v>
      </c>
      <c r="CD7" s="1">
        <f t="shared" si="40"/>
        <v>354.18952512</v>
      </c>
      <c r="CE7" s="1">
        <f t="shared" si="14"/>
        <v>0.121048955316999</v>
      </c>
      <c r="CF7" s="1">
        <f t="shared" si="15"/>
        <v>0.142732440166096</v>
      </c>
      <c r="CG7" s="1">
        <f t="shared" si="16"/>
        <v>7.06064383557938</v>
      </c>
      <c r="CH7" s="32">
        <v>0.0834</v>
      </c>
      <c r="CI7" s="1">
        <f t="shared" si="17"/>
        <v>24.7604562038171</v>
      </c>
    </row>
    <row r="8" s="1" customFormat="1" spans="1:87">
      <c r="A8" s="1">
        <v>6</v>
      </c>
      <c r="B8" s="6" t="s">
        <v>70</v>
      </c>
      <c r="C8" s="6" t="s">
        <v>70</v>
      </c>
      <c r="D8" s="1" t="s">
        <v>63</v>
      </c>
      <c r="E8" s="10">
        <v>0.07506</v>
      </c>
      <c r="F8" s="1">
        <v>0.006725376</v>
      </c>
      <c r="G8" s="1"/>
      <c r="H8" s="9"/>
      <c r="I8" s="13" t="s">
        <v>61</v>
      </c>
      <c r="J8" s="14">
        <v>88924</v>
      </c>
      <c r="K8" s="1" t="s">
        <v>61</v>
      </c>
      <c r="L8" s="15">
        <f>4968.24*E8</f>
        <v>372.9160944</v>
      </c>
      <c r="M8" s="1" t="s">
        <v>61</v>
      </c>
      <c r="N8" s="15">
        <f>4603.13*E8</f>
        <v>345.5109378</v>
      </c>
      <c r="O8" s="1">
        <f t="shared" si="0"/>
        <v>-0.0734888008630823</v>
      </c>
      <c r="P8" s="1" t="s">
        <v>61</v>
      </c>
      <c r="Q8" s="1">
        <f t="shared" si="18"/>
        <v>1.49121702</v>
      </c>
      <c r="R8" s="1" t="s">
        <v>61</v>
      </c>
      <c r="S8" s="1">
        <f t="shared" si="5"/>
        <v>0.6871743</v>
      </c>
      <c r="T8" s="1">
        <f t="shared" si="6"/>
        <v>-0.539185584134494</v>
      </c>
      <c r="U8" s="1">
        <f t="shared" si="7"/>
        <v>0.346831403750606</v>
      </c>
      <c r="V8" s="1" t="s">
        <v>61</v>
      </c>
      <c r="W8" s="1">
        <f t="shared" si="19"/>
        <v>438.72127146</v>
      </c>
      <c r="X8" s="1" t="s">
        <v>61</v>
      </c>
      <c r="Y8" s="1">
        <f t="shared" si="20"/>
        <v>458.44178526</v>
      </c>
      <c r="Z8" s="1" t="s">
        <v>61</v>
      </c>
      <c r="AA8" s="1">
        <f t="shared" si="21"/>
        <v>349.50382956</v>
      </c>
      <c r="AB8" s="1" t="s">
        <v>61</v>
      </c>
      <c r="AC8" s="1">
        <f t="shared" si="22"/>
        <v>352.0704312</v>
      </c>
      <c r="AD8" s="1" t="s">
        <v>61</v>
      </c>
      <c r="AE8" s="1">
        <f t="shared" si="23"/>
        <v>328.0707468</v>
      </c>
      <c r="AF8" s="1" t="s">
        <v>61</v>
      </c>
      <c r="AG8" s="1">
        <f t="shared" si="1"/>
        <v>385.361612856</v>
      </c>
      <c r="AH8" s="1">
        <v>335.959207524</v>
      </c>
      <c r="AI8" s="1">
        <f t="shared" si="2"/>
        <v>52.6579367186676</v>
      </c>
      <c r="AJ8" s="1">
        <f t="shared" si="8"/>
        <v>0.843260921149465</v>
      </c>
      <c r="AK8" s="1" t="s">
        <v>61</v>
      </c>
      <c r="AL8" s="1">
        <v>693.476</v>
      </c>
      <c r="AM8" s="1" t="s">
        <v>61</v>
      </c>
      <c r="AN8" s="1">
        <v>318.25875348</v>
      </c>
      <c r="AO8" s="1">
        <f t="shared" si="9"/>
        <v>2.17896913256018</v>
      </c>
      <c r="AP8" s="1" t="s">
        <v>61</v>
      </c>
      <c r="AQ8" s="1">
        <f t="shared" si="41"/>
        <v>787.27101336</v>
      </c>
      <c r="AR8" s="1">
        <f t="shared" si="24"/>
        <v>2.23611795707086</v>
      </c>
      <c r="AS8" s="1" t="s">
        <v>61</v>
      </c>
      <c r="AT8" s="1">
        <f t="shared" si="25"/>
        <v>1039.4804196</v>
      </c>
      <c r="AU8" s="1">
        <f t="shared" si="26"/>
        <v>2.97416031437661</v>
      </c>
      <c r="AV8" s="1" t="s">
        <v>61</v>
      </c>
      <c r="AW8" s="1">
        <f t="shared" si="27"/>
        <v>927.46260198</v>
      </c>
      <c r="AX8" s="1">
        <f t="shared" si="28"/>
        <v>2.02307606287241</v>
      </c>
      <c r="AY8" s="1" t="s">
        <v>61</v>
      </c>
      <c r="AZ8" s="1">
        <f t="shared" si="29"/>
        <v>880.8812667</v>
      </c>
      <c r="BA8" s="1">
        <f t="shared" si="30"/>
        <v>2.00783806029864</v>
      </c>
      <c r="BB8" s="1" t="s">
        <v>61</v>
      </c>
      <c r="BC8" s="1">
        <v>182</v>
      </c>
      <c r="BD8" s="1" t="s">
        <v>61</v>
      </c>
      <c r="BE8" s="1">
        <v>3110</v>
      </c>
      <c r="BF8" s="1">
        <v>1.109</v>
      </c>
      <c r="BG8" s="1" t="s">
        <v>61</v>
      </c>
      <c r="BH8" s="1">
        <f t="shared" si="31"/>
        <v>45.643986</v>
      </c>
      <c r="BI8" s="1" t="s">
        <v>61</v>
      </c>
      <c r="BJ8" s="1">
        <f t="shared" si="32"/>
        <v>319.78705014</v>
      </c>
      <c r="BK8" s="1">
        <f t="shared" si="10"/>
        <v>0.142732440166096</v>
      </c>
      <c r="BL8" s="1" t="s">
        <v>61</v>
      </c>
      <c r="BM8" s="1">
        <f t="shared" si="33"/>
        <v>56.767878</v>
      </c>
      <c r="BN8" s="1" t="s">
        <v>61</v>
      </c>
      <c r="BO8" s="1">
        <f t="shared" si="34"/>
        <v>365.55893838</v>
      </c>
      <c r="BP8" s="1">
        <f t="shared" si="11"/>
        <v>0.155290630429038</v>
      </c>
      <c r="BQ8" s="1" t="s">
        <v>61</v>
      </c>
      <c r="BR8" s="1">
        <f t="shared" si="35"/>
        <v>52.57953</v>
      </c>
      <c r="BS8" s="1" t="s">
        <v>61</v>
      </c>
      <c r="BT8" s="1">
        <f t="shared" si="36"/>
        <v>331.79364774</v>
      </c>
      <c r="BU8" s="1">
        <f t="shared" si="12"/>
        <v>0.158470574581953</v>
      </c>
      <c r="BV8" s="1" t="s">
        <v>61</v>
      </c>
      <c r="BW8" s="1">
        <f t="shared" si="37"/>
        <v>22.938336</v>
      </c>
      <c r="BX8" s="1" t="s">
        <v>61</v>
      </c>
      <c r="BY8" s="1">
        <f t="shared" si="38"/>
        <v>401.22114534</v>
      </c>
      <c r="BZ8" s="1">
        <f t="shared" si="13"/>
        <v>0.0571713038218904</v>
      </c>
      <c r="CA8" s="1" t="s">
        <v>61</v>
      </c>
      <c r="CB8" s="1">
        <f t="shared" si="39"/>
        <v>42.874272</v>
      </c>
      <c r="CC8" s="1" t="s">
        <v>61</v>
      </c>
      <c r="CD8" s="1">
        <f t="shared" si="40"/>
        <v>354.18952512</v>
      </c>
      <c r="CE8" s="1">
        <f t="shared" si="14"/>
        <v>0.121048955316999</v>
      </c>
      <c r="CF8" s="1">
        <f t="shared" si="15"/>
        <v>0.142732440166096</v>
      </c>
      <c r="CG8" s="1">
        <f t="shared" si="16"/>
        <v>7.06064383557938</v>
      </c>
      <c r="CH8" s="32">
        <v>0.0834</v>
      </c>
      <c r="CI8" s="1">
        <f t="shared" si="17"/>
        <v>24.7604562038171</v>
      </c>
    </row>
    <row r="9" s="1" customFormat="1" spans="1:87">
      <c r="A9" s="1">
        <v>7</v>
      </c>
      <c r="B9" s="6" t="s">
        <v>71</v>
      </c>
      <c r="C9" s="6" t="s">
        <v>71</v>
      </c>
      <c r="D9" s="1" t="s">
        <v>63</v>
      </c>
      <c r="E9" s="10">
        <v>0.07506</v>
      </c>
      <c r="F9" s="1">
        <v>0.006725376</v>
      </c>
      <c r="G9" s="1"/>
      <c r="H9" s="9"/>
      <c r="I9" s="13" t="s">
        <v>61</v>
      </c>
      <c r="J9" s="14">
        <v>88924</v>
      </c>
      <c r="K9" s="1" t="s">
        <v>61</v>
      </c>
      <c r="L9" s="15">
        <f>4968.24*E9</f>
        <v>372.9160944</v>
      </c>
      <c r="M9" s="1" t="s">
        <v>61</v>
      </c>
      <c r="N9" s="15">
        <f>4603.13*E9</f>
        <v>345.5109378</v>
      </c>
      <c r="O9" s="1">
        <f t="shared" si="0"/>
        <v>-0.0734888008630823</v>
      </c>
      <c r="P9" s="1" t="s">
        <v>61</v>
      </c>
      <c r="Q9" s="1">
        <f t="shared" si="18"/>
        <v>1.49121702</v>
      </c>
      <c r="R9" s="1" t="s">
        <v>61</v>
      </c>
      <c r="S9" s="1">
        <f t="shared" si="5"/>
        <v>0.6871743</v>
      </c>
      <c r="T9" s="1">
        <f t="shared" si="6"/>
        <v>-0.539185584134494</v>
      </c>
      <c r="U9" s="1">
        <f t="shared" si="7"/>
        <v>0.346831403750606</v>
      </c>
      <c r="V9" s="1" t="s">
        <v>61</v>
      </c>
      <c r="W9" s="1">
        <f t="shared" si="19"/>
        <v>438.72127146</v>
      </c>
      <c r="X9" s="1" t="s">
        <v>61</v>
      </c>
      <c r="Y9" s="1">
        <f t="shared" si="20"/>
        <v>458.44178526</v>
      </c>
      <c r="Z9" s="1" t="s">
        <v>61</v>
      </c>
      <c r="AA9" s="1">
        <f t="shared" si="21"/>
        <v>349.50382956</v>
      </c>
      <c r="AB9" s="1" t="s">
        <v>61</v>
      </c>
      <c r="AC9" s="1">
        <f t="shared" si="22"/>
        <v>352.0704312</v>
      </c>
      <c r="AD9" s="1" t="s">
        <v>61</v>
      </c>
      <c r="AE9" s="1">
        <f t="shared" si="23"/>
        <v>328.0707468</v>
      </c>
      <c r="AF9" s="1" t="s">
        <v>61</v>
      </c>
      <c r="AG9" s="1">
        <f t="shared" si="1"/>
        <v>385.361612856</v>
      </c>
      <c r="AH9" s="1">
        <v>335.959207524</v>
      </c>
      <c r="AI9" s="1">
        <f t="shared" si="2"/>
        <v>52.6579367186676</v>
      </c>
      <c r="AJ9" s="1">
        <f t="shared" si="8"/>
        <v>0.843260921149465</v>
      </c>
      <c r="AK9" s="1" t="s">
        <v>61</v>
      </c>
      <c r="AL9" s="1">
        <v>693.476</v>
      </c>
      <c r="AM9" s="1" t="s">
        <v>61</v>
      </c>
      <c r="AN9" s="1">
        <v>318.25875348</v>
      </c>
      <c r="AO9" s="1">
        <f t="shared" si="9"/>
        <v>2.17896913256018</v>
      </c>
      <c r="AP9" s="1" t="s">
        <v>61</v>
      </c>
      <c r="AQ9" s="1">
        <f t="shared" si="41"/>
        <v>787.27101336</v>
      </c>
      <c r="AR9" s="1">
        <f t="shared" si="24"/>
        <v>2.23611795707086</v>
      </c>
      <c r="AS9" s="1" t="s">
        <v>61</v>
      </c>
      <c r="AT9" s="1">
        <f t="shared" si="25"/>
        <v>1039.4804196</v>
      </c>
      <c r="AU9" s="1">
        <f t="shared" si="26"/>
        <v>2.97416031437661</v>
      </c>
      <c r="AV9" s="1" t="s">
        <v>61</v>
      </c>
      <c r="AW9" s="1">
        <f t="shared" si="27"/>
        <v>927.46260198</v>
      </c>
      <c r="AX9" s="1">
        <f t="shared" si="28"/>
        <v>2.02307606287241</v>
      </c>
      <c r="AY9" s="1" t="s">
        <v>61</v>
      </c>
      <c r="AZ9" s="1">
        <f t="shared" si="29"/>
        <v>880.8812667</v>
      </c>
      <c r="BA9" s="1">
        <f t="shared" si="30"/>
        <v>2.00783806029864</v>
      </c>
      <c r="BB9" s="1" t="s">
        <v>61</v>
      </c>
      <c r="BC9" s="1">
        <v>182</v>
      </c>
      <c r="BD9" s="1" t="s">
        <v>61</v>
      </c>
      <c r="BE9" s="1">
        <v>3110</v>
      </c>
      <c r="BF9" s="1">
        <v>1.109</v>
      </c>
      <c r="BG9" s="1" t="s">
        <v>61</v>
      </c>
      <c r="BH9" s="1">
        <f t="shared" si="31"/>
        <v>45.643986</v>
      </c>
      <c r="BI9" s="1" t="s">
        <v>61</v>
      </c>
      <c r="BJ9" s="1">
        <f t="shared" si="32"/>
        <v>319.78705014</v>
      </c>
      <c r="BK9" s="1">
        <f t="shared" si="10"/>
        <v>0.142732440166096</v>
      </c>
      <c r="BL9" s="1" t="s">
        <v>61</v>
      </c>
      <c r="BM9" s="1">
        <f t="shared" si="33"/>
        <v>56.767878</v>
      </c>
      <c r="BN9" s="1" t="s">
        <v>61</v>
      </c>
      <c r="BO9" s="1">
        <f t="shared" si="34"/>
        <v>365.55893838</v>
      </c>
      <c r="BP9" s="1">
        <f t="shared" si="11"/>
        <v>0.155290630429038</v>
      </c>
      <c r="BQ9" s="1" t="s">
        <v>61</v>
      </c>
      <c r="BR9" s="1">
        <f t="shared" si="35"/>
        <v>52.57953</v>
      </c>
      <c r="BS9" s="1" t="s">
        <v>61</v>
      </c>
      <c r="BT9" s="1">
        <f t="shared" si="36"/>
        <v>331.79364774</v>
      </c>
      <c r="BU9" s="1">
        <f t="shared" si="12"/>
        <v>0.158470574581953</v>
      </c>
      <c r="BV9" s="1" t="s">
        <v>61</v>
      </c>
      <c r="BW9" s="1">
        <f t="shared" si="37"/>
        <v>22.938336</v>
      </c>
      <c r="BX9" s="1" t="s">
        <v>61</v>
      </c>
      <c r="BY9" s="1">
        <f t="shared" si="38"/>
        <v>401.22114534</v>
      </c>
      <c r="BZ9" s="1">
        <f t="shared" si="13"/>
        <v>0.0571713038218904</v>
      </c>
      <c r="CA9" s="1" t="s">
        <v>61</v>
      </c>
      <c r="CB9" s="1">
        <f t="shared" si="39"/>
        <v>42.874272</v>
      </c>
      <c r="CC9" s="1" t="s">
        <v>61</v>
      </c>
      <c r="CD9" s="1">
        <f t="shared" si="40"/>
        <v>354.18952512</v>
      </c>
      <c r="CE9" s="1">
        <f t="shared" si="14"/>
        <v>0.121048955316999</v>
      </c>
      <c r="CF9" s="1">
        <f t="shared" si="15"/>
        <v>0.142732440166096</v>
      </c>
      <c r="CG9" s="1">
        <f t="shared" si="16"/>
        <v>7.06064383557938</v>
      </c>
      <c r="CH9" s="32">
        <v>0.0834</v>
      </c>
      <c r="CI9" s="1">
        <f t="shared" si="17"/>
        <v>24.7604562038171</v>
      </c>
    </row>
    <row r="10" s="1" customFormat="1" spans="1:87">
      <c r="A10" s="1">
        <v>8</v>
      </c>
      <c r="B10" s="6" t="s">
        <v>72</v>
      </c>
      <c r="C10" s="6" t="s">
        <v>72</v>
      </c>
      <c r="D10" s="1" t="s">
        <v>63</v>
      </c>
      <c r="E10" s="10">
        <v>0.07514</v>
      </c>
      <c r="F10" s="1">
        <v>0.006732544</v>
      </c>
      <c r="G10" s="1"/>
      <c r="H10" s="9"/>
      <c r="I10" s="13" t="s">
        <v>61</v>
      </c>
      <c r="J10" s="14">
        <v>88924</v>
      </c>
      <c r="K10" s="1" t="s">
        <v>61</v>
      </c>
      <c r="L10" s="15">
        <v>246.6</v>
      </c>
      <c r="M10" s="1" t="s">
        <v>61</v>
      </c>
      <c r="N10" s="15">
        <v>286.1</v>
      </c>
      <c r="O10" s="1">
        <f t="shared" si="0"/>
        <v>0.160178426601784</v>
      </c>
      <c r="P10" s="1" t="s">
        <v>61</v>
      </c>
      <c r="Q10" s="1">
        <f t="shared" si="18"/>
        <v>1.49280638</v>
      </c>
      <c r="R10" s="1" t="s">
        <v>61</v>
      </c>
      <c r="S10" s="1">
        <f t="shared" si="5"/>
        <v>0.6879067</v>
      </c>
      <c r="T10" s="1">
        <f t="shared" si="6"/>
        <v>-0.539185584134494</v>
      </c>
      <c r="U10" s="1">
        <f t="shared" si="7"/>
        <v>0.405248210616822</v>
      </c>
      <c r="V10" s="1" t="s">
        <v>61</v>
      </c>
      <c r="W10" s="1">
        <f t="shared" si="19"/>
        <v>439.18886674</v>
      </c>
      <c r="X10" s="1" t="s">
        <v>61</v>
      </c>
      <c r="Y10" s="1">
        <f t="shared" si="20"/>
        <v>458.93039894</v>
      </c>
      <c r="Z10" s="1" t="s">
        <v>61</v>
      </c>
      <c r="AA10" s="1">
        <f t="shared" si="21"/>
        <v>349.87633564</v>
      </c>
      <c r="AB10" s="1" t="s">
        <v>61</v>
      </c>
      <c r="AC10" s="1">
        <f t="shared" si="22"/>
        <v>352.4456728</v>
      </c>
      <c r="AD10" s="1" t="s">
        <v>61</v>
      </c>
      <c r="AE10" s="1">
        <f t="shared" si="23"/>
        <v>328.4204092</v>
      </c>
      <c r="AF10" s="1" t="s">
        <v>61</v>
      </c>
      <c r="AG10" s="1">
        <f t="shared" si="1"/>
        <v>385.772336664</v>
      </c>
      <c r="AH10" s="1">
        <v>336.317277556</v>
      </c>
      <c r="AI10" s="1">
        <f t="shared" si="2"/>
        <v>52.7140602856473</v>
      </c>
      <c r="AJ10" s="1">
        <f t="shared" si="8"/>
        <v>0.843260921149465</v>
      </c>
      <c r="AK10" s="1" t="s">
        <v>61</v>
      </c>
      <c r="AL10" s="1">
        <v>701.5</v>
      </c>
      <c r="AM10" s="1" t="s">
        <v>61</v>
      </c>
      <c r="AN10" s="1">
        <v>54.23034182</v>
      </c>
      <c r="AO10" s="1">
        <f t="shared" si="9"/>
        <v>12.9355629423912</v>
      </c>
      <c r="AP10" s="1" t="s">
        <v>61</v>
      </c>
      <c r="AQ10" s="1">
        <v>645.1</v>
      </c>
      <c r="AR10" s="1">
        <f t="shared" si="24"/>
        <v>1.83035301547331</v>
      </c>
      <c r="AS10" s="1" t="s">
        <v>61</v>
      </c>
      <c r="AT10" s="1">
        <f t="shared" si="25"/>
        <v>1040.5883124</v>
      </c>
      <c r="AU10" s="1">
        <f t="shared" si="26"/>
        <v>2.97416031437661</v>
      </c>
      <c r="AV10" s="1" t="s">
        <v>61</v>
      </c>
      <c r="AW10" s="1">
        <f t="shared" si="27"/>
        <v>928.45110462</v>
      </c>
      <c r="AX10" s="1">
        <f t="shared" si="28"/>
        <v>2.02307606287241</v>
      </c>
      <c r="AY10" s="1" t="s">
        <v>61</v>
      </c>
      <c r="AZ10" s="1">
        <f t="shared" si="29"/>
        <v>881.8201223</v>
      </c>
      <c r="BA10" s="1">
        <f t="shared" si="30"/>
        <v>2.00783806029864</v>
      </c>
      <c r="BB10" s="1" t="s">
        <v>61</v>
      </c>
      <c r="BC10" s="1">
        <v>182</v>
      </c>
      <c r="BD10" s="1" t="s">
        <v>61</v>
      </c>
      <c r="BE10" s="1">
        <v>3110</v>
      </c>
      <c r="BF10" s="1">
        <v>1.109</v>
      </c>
      <c r="BG10" s="1" t="s">
        <v>61</v>
      </c>
      <c r="BH10" s="1">
        <f t="shared" si="31"/>
        <v>45.692634</v>
      </c>
      <c r="BI10" s="1" t="s">
        <v>61</v>
      </c>
      <c r="BJ10" s="1">
        <f t="shared" si="32"/>
        <v>320.12788366</v>
      </c>
      <c r="BK10" s="1">
        <f t="shared" si="10"/>
        <v>0.142732440166096</v>
      </c>
      <c r="BL10" s="1" t="s">
        <v>61</v>
      </c>
      <c r="BM10" s="1">
        <f t="shared" si="33"/>
        <v>56.828382</v>
      </c>
      <c r="BN10" s="1" t="s">
        <v>61</v>
      </c>
      <c r="BO10" s="1">
        <f t="shared" si="34"/>
        <v>365.94855622</v>
      </c>
      <c r="BP10" s="1">
        <f t="shared" si="11"/>
        <v>0.155290630429038</v>
      </c>
      <c r="BQ10" s="1" t="s">
        <v>61</v>
      </c>
      <c r="BR10" s="1">
        <f t="shared" si="35"/>
        <v>52.63557</v>
      </c>
      <c r="BS10" s="1" t="s">
        <v>61</v>
      </c>
      <c r="BT10" s="1">
        <f t="shared" si="36"/>
        <v>332.14727806</v>
      </c>
      <c r="BU10" s="1">
        <f t="shared" si="12"/>
        <v>0.158470574581953</v>
      </c>
      <c r="BV10" s="1" t="s">
        <v>61</v>
      </c>
      <c r="BW10" s="1">
        <f t="shared" si="37"/>
        <v>22.962784</v>
      </c>
      <c r="BX10" s="1" t="s">
        <v>61</v>
      </c>
      <c r="BY10" s="1">
        <f t="shared" si="38"/>
        <v>401.64877246</v>
      </c>
      <c r="BZ10" s="1">
        <f t="shared" si="13"/>
        <v>0.0571713038218904</v>
      </c>
      <c r="CA10" s="1" t="s">
        <v>61</v>
      </c>
      <c r="CB10" s="1">
        <f t="shared" si="39"/>
        <v>42.919968</v>
      </c>
      <c r="CC10" s="1" t="s">
        <v>61</v>
      </c>
      <c r="CD10" s="1">
        <f t="shared" si="40"/>
        <v>354.56702528</v>
      </c>
      <c r="CE10" s="1">
        <f t="shared" si="14"/>
        <v>0.121048955316999</v>
      </c>
      <c r="CF10" s="1">
        <f t="shared" si="15"/>
        <v>0.142732440166096</v>
      </c>
      <c r="CG10" s="1">
        <f t="shared" si="16"/>
        <v>1.60966630337379</v>
      </c>
      <c r="CH10" s="32">
        <v>0.0834</v>
      </c>
      <c r="CI10" s="1">
        <f t="shared" si="17"/>
        <v>6.59557832924288</v>
      </c>
    </row>
    <row r="11" s="1" customFormat="1" spans="1:87">
      <c r="A11" s="1">
        <v>9</v>
      </c>
      <c r="B11" s="6" t="s">
        <v>73</v>
      </c>
      <c r="C11" s="6" t="s">
        <v>73</v>
      </c>
      <c r="D11" s="1" t="s">
        <v>63</v>
      </c>
      <c r="E11" s="10">
        <v>0.0001269</v>
      </c>
      <c r="F11" s="1">
        <v>1.137024e-5</v>
      </c>
      <c r="G11" s="1"/>
      <c r="H11" s="9"/>
      <c r="I11" s="13" t="s">
        <v>61</v>
      </c>
      <c r="J11" s="14">
        <v>88924</v>
      </c>
      <c r="K11" s="1" t="s">
        <v>61</v>
      </c>
      <c r="L11" s="15">
        <f>4968.24*E11</f>
        <v>0.630469656</v>
      </c>
      <c r="M11" s="1" t="s">
        <v>61</v>
      </c>
      <c r="N11" s="15">
        <f>4603.13*E11</f>
        <v>0.584137197</v>
      </c>
      <c r="O11" s="1">
        <f t="shared" si="0"/>
        <v>-0.0734888008630822</v>
      </c>
      <c r="P11" s="1" t="s">
        <v>61</v>
      </c>
      <c r="Q11" s="1">
        <f t="shared" si="18"/>
        <v>0.0025211223</v>
      </c>
      <c r="R11" s="1" t="s">
        <v>61</v>
      </c>
      <c r="S11" s="1">
        <f t="shared" si="5"/>
        <v>0.0011617695</v>
      </c>
      <c r="T11" s="1">
        <f t="shared" si="6"/>
        <v>-0.539185584134494</v>
      </c>
      <c r="U11" s="1">
        <f t="shared" si="7"/>
        <v>0.346831403750606</v>
      </c>
      <c r="V11" s="1" t="s">
        <v>61</v>
      </c>
      <c r="W11" s="1">
        <f t="shared" si="19"/>
        <v>0.7417230129</v>
      </c>
      <c r="X11" s="1" t="s">
        <v>61</v>
      </c>
      <c r="Y11" s="1">
        <f t="shared" si="20"/>
        <v>0.7750634499</v>
      </c>
      <c r="Z11" s="1" t="s">
        <v>61</v>
      </c>
      <c r="AA11" s="1">
        <f t="shared" si="21"/>
        <v>0.5908877694</v>
      </c>
      <c r="AB11" s="1" t="s">
        <v>61</v>
      </c>
      <c r="AC11" s="1">
        <f t="shared" si="22"/>
        <v>0.595226988</v>
      </c>
      <c r="AD11" s="1" t="s">
        <v>61</v>
      </c>
      <c r="AE11" s="1">
        <f t="shared" si="23"/>
        <v>0.554651982</v>
      </c>
      <c r="AF11" s="1" t="s">
        <v>61</v>
      </c>
      <c r="AG11" s="1">
        <f t="shared" si="1"/>
        <v>0.65151064044</v>
      </c>
      <c r="AH11" s="1">
        <v>0.56798858826</v>
      </c>
      <c r="AI11" s="1">
        <f t="shared" si="2"/>
        <v>0.0890260081214884</v>
      </c>
      <c r="AJ11" s="1">
        <f t="shared" si="8"/>
        <v>0.843260921149465</v>
      </c>
      <c r="AK11" s="1" t="s">
        <v>61</v>
      </c>
      <c r="AL11" s="1">
        <v>1.17325</v>
      </c>
      <c r="AM11" s="1" t="s">
        <v>61</v>
      </c>
      <c r="AN11" s="1">
        <v>0.5380633602</v>
      </c>
      <c r="AO11" s="1">
        <f t="shared" si="9"/>
        <v>2.18050528392028</v>
      </c>
      <c r="AP11" s="1" t="s">
        <v>61</v>
      </c>
      <c r="AQ11" s="1">
        <f t="shared" si="41"/>
        <v>1.3309977564</v>
      </c>
      <c r="AR11" s="1">
        <f t="shared" si="24"/>
        <v>2.23611795707086</v>
      </c>
      <c r="AS11" s="1" t="s">
        <v>61</v>
      </c>
      <c r="AT11" s="1">
        <f t="shared" si="25"/>
        <v>1.757394954</v>
      </c>
      <c r="AU11" s="1">
        <f t="shared" si="26"/>
        <v>2.97416031437661</v>
      </c>
      <c r="AV11" s="1" t="s">
        <v>61</v>
      </c>
      <c r="AW11" s="1">
        <f t="shared" si="27"/>
        <v>1.5680123127</v>
      </c>
      <c r="AX11" s="1">
        <f t="shared" si="28"/>
        <v>2.02307606287241</v>
      </c>
      <c r="AY11" s="1" t="s">
        <v>61</v>
      </c>
      <c r="AZ11" s="1">
        <f t="shared" si="29"/>
        <v>1.4892596955</v>
      </c>
      <c r="BA11" s="1">
        <f t="shared" si="30"/>
        <v>2.00783806029864</v>
      </c>
      <c r="BB11" s="1" t="s">
        <v>61</v>
      </c>
      <c r="BC11" s="1">
        <v>182</v>
      </c>
      <c r="BD11" s="1" t="s">
        <v>61</v>
      </c>
      <c r="BE11" s="1">
        <v>3110</v>
      </c>
      <c r="BF11" s="1">
        <v>1.109</v>
      </c>
      <c r="BG11" s="1" t="s">
        <v>61</v>
      </c>
      <c r="BH11" s="1">
        <f t="shared" si="31"/>
        <v>0.07716789</v>
      </c>
      <c r="BI11" s="1" t="s">
        <v>61</v>
      </c>
      <c r="BJ11" s="1">
        <f t="shared" si="32"/>
        <v>0.5406471711</v>
      </c>
      <c r="BK11" s="1">
        <f t="shared" si="10"/>
        <v>0.142732440166096</v>
      </c>
      <c r="BL11" s="1" t="s">
        <v>61</v>
      </c>
      <c r="BM11" s="1">
        <f t="shared" si="33"/>
        <v>0.09597447</v>
      </c>
      <c r="BN11" s="1" t="s">
        <v>61</v>
      </c>
      <c r="BO11" s="1">
        <f t="shared" si="34"/>
        <v>0.6180312987</v>
      </c>
      <c r="BP11" s="1">
        <f t="shared" si="11"/>
        <v>0.155290630429038</v>
      </c>
      <c r="BQ11" s="1" t="s">
        <v>61</v>
      </c>
      <c r="BR11" s="1">
        <f t="shared" si="35"/>
        <v>0.08889345</v>
      </c>
      <c r="BS11" s="1" t="s">
        <v>61</v>
      </c>
      <c r="BT11" s="1">
        <f t="shared" si="36"/>
        <v>0.5609460951</v>
      </c>
      <c r="BU11" s="1">
        <f t="shared" si="12"/>
        <v>0.158470574581953</v>
      </c>
      <c r="BV11" s="1" t="s">
        <v>61</v>
      </c>
      <c r="BW11" s="1">
        <f t="shared" si="37"/>
        <v>0.03878064</v>
      </c>
      <c r="BX11" s="1" t="s">
        <v>61</v>
      </c>
      <c r="BY11" s="1">
        <f t="shared" si="38"/>
        <v>0.6783235191</v>
      </c>
      <c r="BZ11" s="1">
        <f t="shared" si="13"/>
        <v>0.0571713038218904</v>
      </c>
      <c r="CA11" s="1" t="s">
        <v>61</v>
      </c>
      <c r="CB11" s="1">
        <f t="shared" si="39"/>
        <v>0.07248528</v>
      </c>
      <c r="CC11" s="1" t="s">
        <v>61</v>
      </c>
      <c r="CD11" s="1">
        <f t="shared" si="40"/>
        <v>0.5988096288</v>
      </c>
      <c r="CE11" s="1">
        <f t="shared" si="14"/>
        <v>0.121048955316999</v>
      </c>
      <c r="CF11" s="1">
        <f t="shared" si="15"/>
        <v>0.142732440166096</v>
      </c>
      <c r="CG11" s="1">
        <f t="shared" si="16"/>
        <v>0.146868899275228</v>
      </c>
      <c r="CH11" s="32">
        <v>0.0834</v>
      </c>
      <c r="CI11" s="1">
        <f t="shared" si="17"/>
        <v>0.515043816525933</v>
      </c>
    </row>
    <row r="12" s="1" customFormat="1" spans="1:87">
      <c r="A12" s="1">
        <v>10</v>
      </c>
      <c r="B12" s="6" t="s">
        <v>74</v>
      </c>
      <c r="C12" s="6" t="s">
        <v>74</v>
      </c>
      <c r="D12" s="1" t="s">
        <v>63</v>
      </c>
      <c r="E12" s="10">
        <v>0.0001269</v>
      </c>
      <c r="F12" s="1">
        <v>1.137024e-5</v>
      </c>
      <c r="G12" s="1"/>
      <c r="H12" s="9"/>
      <c r="I12" s="13" t="s">
        <v>61</v>
      </c>
      <c r="J12" s="14">
        <v>88924</v>
      </c>
      <c r="K12" s="1" t="s">
        <v>61</v>
      </c>
      <c r="L12" s="15">
        <f>4968.24*E12</f>
        <v>0.630469656</v>
      </c>
      <c r="M12" s="1" t="s">
        <v>61</v>
      </c>
      <c r="N12" s="15">
        <f>4603.13*E12</f>
        <v>0.584137197</v>
      </c>
      <c r="O12" s="1">
        <f t="shared" si="0"/>
        <v>-0.0734888008630822</v>
      </c>
      <c r="P12" s="1" t="s">
        <v>61</v>
      </c>
      <c r="Q12" s="1">
        <f t="shared" si="18"/>
        <v>0.0025211223</v>
      </c>
      <c r="R12" s="1" t="s">
        <v>61</v>
      </c>
      <c r="S12" s="1">
        <f t="shared" si="5"/>
        <v>0.0011617695</v>
      </c>
      <c r="T12" s="1">
        <f t="shared" si="6"/>
        <v>-0.539185584134494</v>
      </c>
      <c r="U12" s="1">
        <f t="shared" si="7"/>
        <v>0.346831403750606</v>
      </c>
      <c r="V12" s="1" t="s">
        <v>61</v>
      </c>
      <c r="W12" s="1">
        <f t="shared" si="19"/>
        <v>0.7417230129</v>
      </c>
      <c r="X12" s="1" t="s">
        <v>61</v>
      </c>
      <c r="Y12" s="1">
        <f t="shared" si="20"/>
        <v>0.7750634499</v>
      </c>
      <c r="Z12" s="1" t="s">
        <v>61</v>
      </c>
      <c r="AA12" s="1">
        <f t="shared" si="21"/>
        <v>0.5908877694</v>
      </c>
      <c r="AB12" s="1" t="s">
        <v>61</v>
      </c>
      <c r="AC12" s="1">
        <f t="shared" si="22"/>
        <v>0.595226988</v>
      </c>
      <c r="AD12" s="1" t="s">
        <v>61</v>
      </c>
      <c r="AE12" s="1">
        <f t="shared" si="23"/>
        <v>0.554651982</v>
      </c>
      <c r="AF12" s="1" t="s">
        <v>61</v>
      </c>
      <c r="AG12" s="1">
        <f t="shared" si="1"/>
        <v>0.65151064044</v>
      </c>
      <c r="AH12" s="1">
        <v>0.56798858826</v>
      </c>
      <c r="AI12" s="1">
        <f t="shared" si="2"/>
        <v>0.0890260081214884</v>
      </c>
      <c r="AJ12" s="1">
        <f t="shared" si="8"/>
        <v>0.843260921149465</v>
      </c>
      <c r="AK12" s="1" t="s">
        <v>61</v>
      </c>
      <c r="AL12" s="1">
        <v>1.17325</v>
      </c>
      <c r="AM12" s="1" t="s">
        <v>61</v>
      </c>
      <c r="AN12" s="1">
        <v>0.5380633602</v>
      </c>
      <c r="AO12" s="1">
        <f t="shared" si="9"/>
        <v>2.18050528392028</v>
      </c>
      <c r="AP12" s="1" t="s">
        <v>61</v>
      </c>
      <c r="AQ12" s="1">
        <f t="shared" si="41"/>
        <v>1.3309977564</v>
      </c>
      <c r="AR12" s="1">
        <f t="shared" si="24"/>
        <v>2.23611795707086</v>
      </c>
      <c r="AS12" s="1" t="s">
        <v>61</v>
      </c>
      <c r="AT12" s="1">
        <f t="shared" si="25"/>
        <v>1.757394954</v>
      </c>
      <c r="AU12" s="1">
        <f t="shared" si="26"/>
        <v>2.97416031437661</v>
      </c>
      <c r="AV12" s="1" t="s">
        <v>61</v>
      </c>
      <c r="AW12" s="1">
        <f t="shared" si="27"/>
        <v>1.5680123127</v>
      </c>
      <c r="AX12" s="1">
        <f t="shared" si="28"/>
        <v>2.02307606287241</v>
      </c>
      <c r="AY12" s="1" t="s">
        <v>61</v>
      </c>
      <c r="AZ12" s="1">
        <f t="shared" si="29"/>
        <v>1.4892596955</v>
      </c>
      <c r="BA12" s="1">
        <f t="shared" si="30"/>
        <v>2.00783806029864</v>
      </c>
      <c r="BB12" s="1" t="s">
        <v>61</v>
      </c>
      <c r="BC12" s="1">
        <v>182</v>
      </c>
      <c r="BD12" s="1" t="s">
        <v>61</v>
      </c>
      <c r="BE12" s="1">
        <v>3110</v>
      </c>
      <c r="BF12" s="1">
        <v>1.109</v>
      </c>
      <c r="BG12" s="1" t="s">
        <v>61</v>
      </c>
      <c r="BH12" s="1">
        <f t="shared" si="31"/>
        <v>0.07716789</v>
      </c>
      <c r="BI12" s="1" t="s">
        <v>61</v>
      </c>
      <c r="BJ12" s="1">
        <f t="shared" si="32"/>
        <v>0.5406471711</v>
      </c>
      <c r="BK12" s="1">
        <f t="shared" si="10"/>
        <v>0.142732440166096</v>
      </c>
      <c r="BL12" s="1" t="s">
        <v>61</v>
      </c>
      <c r="BM12" s="1">
        <f t="shared" si="33"/>
        <v>0.09597447</v>
      </c>
      <c r="BN12" s="1" t="s">
        <v>61</v>
      </c>
      <c r="BO12" s="1">
        <f t="shared" si="34"/>
        <v>0.6180312987</v>
      </c>
      <c r="BP12" s="1">
        <f t="shared" si="11"/>
        <v>0.155290630429038</v>
      </c>
      <c r="BQ12" s="1" t="s">
        <v>61</v>
      </c>
      <c r="BR12" s="1">
        <f t="shared" si="35"/>
        <v>0.08889345</v>
      </c>
      <c r="BS12" s="1" t="s">
        <v>61</v>
      </c>
      <c r="BT12" s="1">
        <f t="shared" si="36"/>
        <v>0.5609460951</v>
      </c>
      <c r="BU12" s="1">
        <f t="shared" si="12"/>
        <v>0.158470574581953</v>
      </c>
      <c r="BV12" s="1" t="s">
        <v>61</v>
      </c>
      <c r="BW12" s="1">
        <f t="shared" si="37"/>
        <v>0.03878064</v>
      </c>
      <c r="BX12" s="1" t="s">
        <v>61</v>
      </c>
      <c r="BY12" s="1">
        <f t="shared" si="38"/>
        <v>0.6783235191</v>
      </c>
      <c r="BZ12" s="1">
        <f t="shared" si="13"/>
        <v>0.0571713038218904</v>
      </c>
      <c r="CA12" s="1" t="s">
        <v>61</v>
      </c>
      <c r="CB12" s="1">
        <f t="shared" si="39"/>
        <v>0.07248528</v>
      </c>
      <c r="CC12" s="1" t="s">
        <v>61</v>
      </c>
      <c r="CD12" s="1">
        <f t="shared" si="40"/>
        <v>0.5988096288</v>
      </c>
      <c r="CE12" s="1">
        <f t="shared" si="14"/>
        <v>0.121048955316999</v>
      </c>
      <c r="CF12" s="1">
        <f t="shared" si="15"/>
        <v>0.142732440166096</v>
      </c>
      <c r="CG12" s="1">
        <f t="shared" si="16"/>
        <v>0.146868899275228</v>
      </c>
      <c r="CH12" s="32">
        <v>0.0834</v>
      </c>
      <c r="CI12" s="1">
        <f t="shared" si="17"/>
        <v>0.515043816525933</v>
      </c>
    </row>
    <row r="13" s="1" customFormat="1" spans="1:87">
      <c r="A13" s="1">
        <v>11</v>
      </c>
      <c r="B13" s="1" t="s">
        <v>75</v>
      </c>
      <c r="C13" s="1" t="s">
        <v>76</v>
      </c>
      <c r="D13" s="1" t="s">
        <v>77</v>
      </c>
      <c r="E13" s="11">
        <v>0.2033</v>
      </c>
      <c r="F13" s="1">
        <v>0.08132</v>
      </c>
      <c r="G13" s="1"/>
      <c r="H13" s="9"/>
      <c r="I13" s="13" t="s">
        <v>61</v>
      </c>
      <c r="J13" s="14">
        <v>88924</v>
      </c>
      <c r="K13" s="13" t="s">
        <v>78</v>
      </c>
      <c r="L13" s="1">
        <f>4311.3831*91%</f>
        <v>3923.358621</v>
      </c>
      <c r="M13" s="13" t="s">
        <v>78</v>
      </c>
      <c r="N13" s="1">
        <f>6281.1568*91%</f>
        <v>5715.852688</v>
      </c>
      <c r="O13" s="1">
        <f t="shared" si="0"/>
        <v>0.456877446126279</v>
      </c>
      <c r="P13" s="1" t="s">
        <v>78</v>
      </c>
      <c r="Q13" s="1">
        <v>0.5</v>
      </c>
      <c r="R13" s="1" t="s">
        <v>78</v>
      </c>
      <c r="S13" s="1">
        <f>34*E13</f>
        <v>6.9122</v>
      </c>
      <c r="T13" s="1">
        <f t="shared" si="6"/>
        <v>12.8244</v>
      </c>
      <c r="U13" s="1">
        <f t="shared" si="7"/>
        <v>3.82031936153157</v>
      </c>
      <c r="V13" s="1" t="s">
        <v>78</v>
      </c>
      <c r="W13" s="1">
        <f t="shared" ref="W13:W19" si="42">14783*E13</f>
        <v>3005.3839</v>
      </c>
      <c r="X13" s="1" t="s">
        <v>78</v>
      </c>
      <c r="Y13" s="1">
        <f>14260*E13</f>
        <v>2899.058</v>
      </c>
      <c r="Z13" s="1" t="s">
        <v>78</v>
      </c>
      <c r="AA13" s="1">
        <f>18123*E13</f>
        <v>3684.4059</v>
      </c>
      <c r="AB13" s="1" t="s">
        <v>78</v>
      </c>
      <c r="AC13" s="1">
        <f>15871*E13</f>
        <v>3226.5743</v>
      </c>
      <c r="AD13" s="1" t="s">
        <v>78</v>
      </c>
      <c r="AE13" s="1">
        <f>20355*E13</f>
        <v>4138.1715</v>
      </c>
      <c r="AF13" s="1" t="s">
        <v>78</v>
      </c>
      <c r="AG13" s="1">
        <f t="shared" si="1"/>
        <v>3390.71872</v>
      </c>
      <c r="AH13" s="1">
        <f>AG13*1.1304</f>
        <v>3832.868441088</v>
      </c>
      <c r="AI13" s="1">
        <f t="shared" si="2"/>
        <v>460.889226547675</v>
      </c>
      <c r="AJ13" s="1">
        <f t="shared" si="8"/>
        <v>0.879753444807293</v>
      </c>
      <c r="AK13" s="1" t="s">
        <v>78</v>
      </c>
      <c r="AL13" s="1">
        <f>64215*E13</f>
        <v>13054.9095</v>
      </c>
      <c r="AM13" s="1" t="s">
        <v>78</v>
      </c>
      <c r="AN13" s="1">
        <f>22308*E13</f>
        <v>4535.2164</v>
      </c>
      <c r="AO13" s="1">
        <f t="shared" si="9"/>
        <v>2.87856374394836</v>
      </c>
      <c r="AP13" s="1" t="s">
        <v>78</v>
      </c>
      <c r="AQ13" s="1">
        <f>44651*E13</f>
        <v>9077.5483</v>
      </c>
      <c r="AR13" s="1">
        <f t="shared" si="24"/>
        <v>2.81337029802785</v>
      </c>
      <c r="AS13" s="1" t="s">
        <v>78</v>
      </c>
      <c r="AT13" s="1">
        <f>53670*E13</f>
        <v>10911.111</v>
      </c>
      <c r="AU13" s="1">
        <f t="shared" si="26"/>
        <v>2.96143022678365</v>
      </c>
      <c r="AV13" s="1" t="s">
        <v>78</v>
      </c>
      <c r="AW13" s="1">
        <f>43500*E13</f>
        <v>8843.55</v>
      </c>
      <c r="AX13" s="1">
        <f t="shared" si="28"/>
        <v>3.05049088359046</v>
      </c>
      <c r="AY13" s="1" t="s">
        <v>78</v>
      </c>
      <c r="AZ13" s="1">
        <f>42636*E13</f>
        <v>8667.8988</v>
      </c>
      <c r="BA13" s="1">
        <f t="shared" si="30"/>
        <v>2.88412365555029</v>
      </c>
      <c r="BB13" s="1" t="s">
        <v>61</v>
      </c>
      <c r="BC13" s="1">
        <v>182</v>
      </c>
      <c r="BD13" s="1" t="s">
        <v>61</v>
      </c>
      <c r="BE13" s="1">
        <v>3110</v>
      </c>
      <c r="BF13" s="1">
        <v>1.109</v>
      </c>
      <c r="BG13" s="1" t="s">
        <v>78</v>
      </c>
      <c r="BH13" s="30">
        <f t="shared" ref="BH13:BH19" si="43">22308*E13</f>
        <v>4535.2164</v>
      </c>
      <c r="BI13" s="1" t="s">
        <v>78</v>
      </c>
      <c r="BJ13" s="1">
        <f>26722*E13</f>
        <v>5432.5826</v>
      </c>
      <c r="BK13" s="1">
        <f t="shared" si="10"/>
        <v>0.834817753162188</v>
      </c>
      <c r="BL13" s="1" t="s">
        <v>78</v>
      </c>
      <c r="BM13" s="30">
        <f>4869*E13</f>
        <v>989.8677</v>
      </c>
      <c r="BN13" s="1" t="s">
        <v>78</v>
      </c>
      <c r="BO13" s="1">
        <f>20808*E13</f>
        <v>4230.2664</v>
      </c>
      <c r="BP13" s="1">
        <f t="shared" si="11"/>
        <v>0.233996539792388</v>
      </c>
      <c r="BQ13" s="1" t="s">
        <v>78</v>
      </c>
      <c r="BR13" s="30">
        <f>6265*E13</f>
        <v>1273.6745</v>
      </c>
      <c r="BS13" s="1" t="s">
        <v>78</v>
      </c>
      <c r="BT13" s="1">
        <f>24302*E13</f>
        <v>4940.5966</v>
      </c>
      <c r="BU13" s="1">
        <f t="shared" si="12"/>
        <v>0.257797712122459</v>
      </c>
      <c r="BV13" s="1" t="s">
        <v>78</v>
      </c>
      <c r="BW13" s="30">
        <f>5518*E13</f>
        <v>1121.8094</v>
      </c>
      <c r="BX13" s="1" t="s">
        <v>78</v>
      </c>
      <c r="BY13" s="1">
        <f>19988*E13</f>
        <v>4063.5604</v>
      </c>
      <c r="BZ13" s="1">
        <f t="shared" si="13"/>
        <v>0.27606563938363</v>
      </c>
      <c r="CA13" s="1" t="s">
        <v>78</v>
      </c>
      <c r="CB13" s="30">
        <f>4831*E13</f>
        <v>982.1423</v>
      </c>
      <c r="CC13" s="1" t="s">
        <v>78</v>
      </c>
      <c r="CD13" s="1">
        <f>19740*E13</f>
        <v>4013.142</v>
      </c>
      <c r="CE13" s="1">
        <f t="shared" si="14"/>
        <v>0.244731509625127</v>
      </c>
      <c r="CF13" s="1">
        <f t="shared" si="15"/>
        <v>0.834817753162188</v>
      </c>
      <c r="CG13" s="1">
        <f t="shared" si="16"/>
        <v>394.623547947942</v>
      </c>
      <c r="CH13" s="32">
        <v>0.0834</v>
      </c>
      <c r="CI13" s="1">
        <f t="shared" si="17"/>
        <v>15902.9462758714</v>
      </c>
    </row>
    <row r="14" s="1" customFormat="1" spans="1:87">
      <c r="A14" s="1">
        <v>12</v>
      </c>
      <c r="B14" s="1" t="s">
        <v>79</v>
      </c>
      <c r="C14" s="1" t="s">
        <v>80</v>
      </c>
      <c r="D14" s="1" t="s">
        <v>77</v>
      </c>
      <c r="E14" s="10">
        <v>0.118694</v>
      </c>
      <c r="F14" s="1">
        <v>0.0474776</v>
      </c>
      <c r="G14" s="1"/>
      <c r="H14" s="9"/>
      <c r="I14" s="13" t="s">
        <v>61</v>
      </c>
      <c r="J14" s="14">
        <v>88924</v>
      </c>
      <c r="K14" s="13" t="s">
        <v>78</v>
      </c>
      <c r="L14" s="1">
        <f t="shared" ref="L14:L19" si="44">19510*E14</f>
        <v>2315.71994</v>
      </c>
      <c r="M14" s="13" t="s">
        <v>78</v>
      </c>
      <c r="N14" s="1">
        <f t="shared" ref="N14:N19" si="45">29042*E14</f>
        <v>3447.111148</v>
      </c>
      <c r="O14" s="1">
        <f t="shared" si="0"/>
        <v>0.488569964120964</v>
      </c>
      <c r="P14" s="1" t="s">
        <v>78</v>
      </c>
      <c r="Q14" s="1">
        <v>0.5</v>
      </c>
      <c r="R14" s="1" t="s">
        <v>78</v>
      </c>
      <c r="S14" s="1">
        <f t="shared" ref="S14:S19" si="46">34*E14</f>
        <v>4.035596</v>
      </c>
      <c r="T14" s="1">
        <f t="shared" si="6"/>
        <v>7.071192</v>
      </c>
      <c r="U14" s="1">
        <f t="shared" si="7"/>
        <v>2.38994049103024</v>
      </c>
      <c r="V14" s="1" t="s">
        <v>78</v>
      </c>
      <c r="W14" s="1">
        <f t="shared" si="42"/>
        <v>1754.653402</v>
      </c>
      <c r="X14" s="1" t="s">
        <v>78</v>
      </c>
      <c r="Y14" s="1">
        <f t="shared" ref="Y14:Y19" si="47">14260*E14</f>
        <v>1692.57644</v>
      </c>
      <c r="Z14" s="1" t="s">
        <v>78</v>
      </c>
      <c r="AA14" s="1">
        <f t="shared" ref="AA14:AA19" si="48">18123*E14</f>
        <v>2151.091362</v>
      </c>
      <c r="AB14" s="1" t="s">
        <v>78</v>
      </c>
      <c r="AC14" s="1">
        <f t="shared" ref="AC14:AC19" si="49">15871*E14</f>
        <v>1883.792474</v>
      </c>
      <c r="AD14" s="1" t="s">
        <v>78</v>
      </c>
      <c r="AE14" s="1">
        <f t="shared" ref="AE14:AE19" si="50">20355*E14</f>
        <v>2416.01637</v>
      </c>
      <c r="AF14" s="1" t="s">
        <v>78</v>
      </c>
      <c r="AG14" s="1">
        <f t="shared" si="1"/>
        <v>1979.6260096</v>
      </c>
      <c r="AH14" s="1">
        <f t="shared" ref="AH14:AH19" si="51">AG14*1.1304</f>
        <v>2237.76924125184</v>
      </c>
      <c r="AI14" s="1">
        <f t="shared" si="2"/>
        <v>269.084042576732</v>
      </c>
      <c r="AJ14" s="1">
        <f t="shared" si="8"/>
        <v>0.879753444807293</v>
      </c>
      <c r="AK14" s="1" t="s">
        <v>78</v>
      </c>
      <c r="AL14" s="1">
        <f t="shared" ref="AL14:AL19" si="52">64215*E14</f>
        <v>7621.93521</v>
      </c>
      <c r="AM14" s="1" t="s">
        <v>78</v>
      </c>
      <c r="AN14" s="1">
        <f t="shared" ref="AN14:AN19" si="53">20355*E14</f>
        <v>2416.01637</v>
      </c>
      <c r="AO14" s="1">
        <f t="shared" si="9"/>
        <v>3.15475313190862</v>
      </c>
      <c r="AP14" s="1" t="s">
        <v>78</v>
      </c>
      <c r="AQ14" s="1">
        <f t="shared" ref="AQ14:AQ19" si="54">44651*E14</f>
        <v>5299.805794</v>
      </c>
      <c r="AR14" s="1">
        <f t="shared" si="24"/>
        <v>2.81337029802785</v>
      </c>
      <c r="AS14" s="1" t="s">
        <v>78</v>
      </c>
      <c r="AT14" s="1">
        <f t="shared" ref="AT14:AT19" si="55">53670*E14</f>
        <v>6370.30698</v>
      </c>
      <c r="AU14" s="1">
        <f t="shared" si="26"/>
        <v>2.96143022678364</v>
      </c>
      <c r="AV14" s="1" t="s">
        <v>78</v>
      </c>
      <c r="AW14" s="1">
        <f t="shared" ref="AW14:AW19" si="56">43500*E14</f>
        <v>5163.189</v>
      </c>
      <c r="AX14" s="1">
        <f t="shared" si="28"/>
        <v>3.05049088359046</v>
      </c>
      <c r="AY14" s="1" t="s">
        <v>78</v>
      </c>
      <c r="AZ14" s="1">
        <f t="shared" ref="AZ14:AZ19" si="57">42636*E14</f>
        <v>5060.637384</v>
      </c>
      <c r="BA14" s="1">
        <f t="shared" si="30"/>
        <v>2.88412365555029</v>
      </c>
      <c r="BB14" s="1" t="s">
        <v>61</v>
      </c>
      <c r="BC14" s="1">
        <v>182</v>
      </c>
      <c r="BD14" s="1" t="s">
        <v>61</v>
      </c>
      <c r="BE14" s="1">
        <v>3110</v>
      </c>
      <c r="BF14" s="1">
        <v>1.109</v>
      </c>
      <c r="BG14" s="1" t="s">
        <v>78</v>
      </c>
      <c r="BH14" s="30">
        <f t="shared" si="43"/>
        <v>2647.825752</v>
      </c>
      <c r="BI14" s="1" t="s">
        <v>78</v>
      </c>
      <c r="BJ14" s="1">
        <f t="shared" ref="BJ14:BJ19" si="58">26722*E14</f>
        <v>3171.741068</v>
      </c>
      <c r="BK14" s="1">
        <f t="shared" si="10"/>
        <v>0.834817753162188</v>
      </c>
      <c r="BL14" s="1" t="s">
        <v>78</v>
      </c>
      <c r="BM14" s="30">
        <f t="shared" ref="BM14:BM19" si="59">4869*E14</f>
        <v>577.921086</v>
      </c>
      <c r="BN14" s="1" t="s">
        <v>78</v>
      </c>
      <c r="BO14" s="1">
        <f t="shared" ref="BO14:BO19" si="60">20808*E14</f>
        <v>2469.784752</v>
      </c>
      <c r="BP14" s="1">
        <f t="shared" si="11"/>
        <v>0.233996539792388</v>
      </c>
      <c r="BQ14" s="1" t="s">
        <v>78</v>
      </c>
      <c r="BR14" s="30">
        <f t="shared" ref="BR14:BR19" si="61">6265*E14</f>
        <v>743.61791</v>
      </c>
      <c r="BS14" s="1" t="s">
        <v>78</v>
      </c>
      <c r="BT14" s="1">
        <f t="shared" ref="BT14:BT19" si="62">24302*E14</f>
        <v>2884.501588</v>
      </c>
      <c r="BU14" s="1">
        <f t="shared" si="12"/>
        <v>0.257797712122459</v>
      </c>
      <c r="BV14" s="1" t="s">
        <v>78</v>
      </c>
      <c r="BW14" s="30">
        <f t="shared" ref="BW14:BW19" si="63">5518*E14</f>
        <v>654.953492</v>
      </c>
      <c r="BX14" s="1" t="s">
        <v>78</v>
      </c>
      <c r="BY14" s="1">
        <f t="shared" ref="BY14:BY19" si="64">19988*E14</f>
        <v>2372.455672</v>
      </c>
      <c r="BZ14" s="1">
        <f t="shared" si="13"/>
        <v>0.27606563938363</v>
      </c>
      <c r="CA14" s="1" t="s">
        <v>78</v>
      </c>
      <c r="CB14" s="30">
        <f t="shared" ref="CB14:CB19" si="65">4831*E14</f>
        <v>573.410714</v>
      </c>
      <c r="CC14" s="1" t="s">
        <v>78</v>
      </c>
      <c r="CD14" s="1">
        <f t="shared" ref="CD14:CD19" si="66">19740*E14</f>
        <v>2343.01956</v>
      </c>
      <c r="CE14" s="1">
        <f t="shared" si="14"/>
        <v>0.244731509625127</v>
      </c>
      <c r="CF14" s="1">
        <f t="shared" si="15"/>
        <v>0.834817753162188</v>
      </c>
      <c r="CG14" s="1">
        <f t="shared" si="16"/>
        <v>210.541402087452</v>
      </c>
      <c r="CH14" s="32">
        <v>0.0834</v>
      </c>
      <c r="CI14" s="1">
        <f t="shared" si="17"/>
        <v>5307.86078259222</v>
      </c>
    </row>
    <row r="15" s="1" customFormat="1" spans="1:87">
      <c r="A15" s="1">
        <v>13</v>
      </c>
      <c r="B15" s="1" t="s">
        <v>81</v>
      </c>
      <c r="C15" s="1" t="s">
        <v>82</v>
      </c>
      <c r="D15" s="1" t="s">
        <v>77</v>
      </c>
      <c r="E15" s="10">
        <v>0.118694</v>
      </c>
      <c r="F15" s="1">
        <v>0.0474776</v>
      </c>
      <c r="G15" s="1"/>
      <c r="H15" s="9"/>
      <c r="I15" s="13" t="s">
        <v>61</v>
      </c>
      <c r="J15" s="14">
        <v>88924</v>
      </c>
      <c r="K15" s="13" t="s">
        <v>78</v>
      </c>
      <c r="L15" s="1">
        <f t="shared" si="44"/>
        <v>2315.71994</v>
      </c>
      <c r="M15" s="13" t="s">
        <v>78</v>
      </c>
      <c r="N15" s="1">
        <f t="shared" si="45"/>
        <v>3447.111148</v>
      </c>
      <c r="O15" s="1">
        <f t="shared" si="0"/>
        <v>0.488569964120964</v>
      </c>
      <c r="P15" s="1" t="s">
        <v>78</v>
      </c>
      <c r="Q15" s="1">
        <v>0.5</v>
      </c>
      <c r="R15" s="1" t="s">
        <v>78</v>
      </c>
      <c r="S15" s="1">
        <f t="shared" si="46"/>
        <v>4.035596</v>
      </c>
      <c r="T15" s="1">
        <f t="shared" si="6"/>
        <v>7.071192</v>
      </c>
      <c r="U15" s="1">
        <f t="shared" si="7"/>
        <v>2.38994049103024</v>
      </c>
      <c r="V15" s="1" t="s">
        <v>78</v>
      </c>
      <c r="W15" s="1">
        <f t="shared" si="42"/>
        <v>1754.653402</v>
      </c>
      <c r="X15" s="1" t="s">
        <v>78</v>
      </c>
      <c r="Y15" s="1">
        <f t="shared" si="47"/>
        <v>1692.57644</v>
      </c>
      <c r="Z15" s="1" t="s">
        <v>78</v>
      </c>
      <c r="AA15" s="1">
        <f t="shared" si="48"/>
        <v>2151.091362</v>
      </c>
      <c r="AB15" s="1" t="s">
        <v>78</v>
      </c>
      <c r="AC15" s="1">
        <f t="shared" si="49"/>
        <v>1883.792474</v>
      </c>
      <c r="AD15" s="1" t="s">
        <v>78</v>
      </c>
      <c r="AE15" s="1">
        <f t="shared" si="50"/>
        <v>2416.01637</v>
      </c>
      <c r="AF15" s="1" t="s">
        <v>78</v>
      </c>
      <c r="AG15" s="1">
        <f t="shared" si="1"/>
        <v>1979.6260096</v>
      </c>
      <c r="AH15" s="1">
        <f t="shared" si="51"/>
        <v>2237.76924125184</v>
      </c>
      <c r="AI15" s="1">
        <f t="shared" si="2"/>
        <v>269.084042576732</v>
      </c>
      <c r="AJ15" s="1">
        <f t="shared" si="8"/>
        <v>0.879753444807293</v>
      </c>
      <c r="AK15" s="1" t="s">
        <v>78</v>
      </c>
      <c r="AL15" s="1">
        <f t="shared" si="52"/>
        <v>7621.93521</v>
      </c>
      <c r="AM15" s="1" t="s">
        <v>78</v>
      </c>
      <c r="AN15" s="1">
        <f t="shared" si="53"/>
        <v>2416.01637</v>
      </c>
      <c r="AO15" s="1">
        <f t="shared" si="9"/>
        <v>3.15475313190862</v>
      </c>
      <c r="AP15" s="1" t="s">
        <v>78</v>
      </c>
      <c r="AQ15" s="1">
        <f t="shared" si="54"/>
        <v>5299.805794</v>
      </c>
      <c r="AR15" s="1">
        <f t="shared" si="24"/>
        <v>2.81337029802785</v>
      </c>
      <c r="AS15" s="1" t="s">
        <v>78</v>
      </c>
      <c r="AT15" s="1">
        <f t="shared" si="55"/>
        <v>6370.30698</v>
      </c>
      <c r="AU15" s="1">
        <f t="shared" si="26"/>
        <v>2.96143022678364</v>
      </c>
      <c r="AV15" s="1" t="s">
        <v>78</v>
      </c>
      <c r="AW15" s="1">
        <f t="shared" si="56"/>
        <v>5163.189</v>
      </c>
      <c r="AX15" s="1">
        <f t="shared" si="28"/>
        <v>3.05049088359046</v>
      </c>
      <c r="AY15" s="1" t="s">
        <v>78</v>
      </c>
      <c r="AZ15" s="1">
        <f t="shared" si="57"/>
        <v>5060.637384</v>
      </c>
      <c r="BA15" s="1">
        <f t="shared" si="30"/>
        <v>2.88412365555029</v>
      </c>
      <c r="BB15" s="1" t="s">
        <v>61</v>
      </c>
      <c r="BC15" s="1">
        <v>182</v>
      </c>
      <c r="BD15" s="1" t="s">
        <v>61</v>
      </c>
      <c r="BE15" s="1">
        <v>3110</v>
      </c>
      <c r="BF15" s="1">
        <v>1.109</v>
      </c>
      <c r="BG15" s="1" t="s">
        <v>78</v>
      </c>
      <c r="BH15" s="30">
        <f t="shared" si="43"/>
        <v>2647.825752</v>
      </c>
      <c r="BI15" s="1" t="s">
        <v>78</v>
      </c>
      <c r="BJ15" s="1">
        <f t="shared" si="58"/>
        <v>3171.741068</v>
      </c>
      <c r="BK15" s="1">
        <f t="shared" si="10"/>
        <v>0.834817753162188</v>
      </c>
      <c r="BL15" s="1" t="s">
        <v>78</v>
      </c>
      <c r="BM15" s="30">
        <f t="shared" si="59"/>
        <v>577.921086</v>
      </c>
      <c r="BN15" s="1" t="s">
        <v>78</v>
      </c>
      <c r="BO15" s="1">
        <f t="shared" si="60"/>
        <v>2469.784752</v>
      </c>
      <c r="BP15" s="1">
        <f t="shared" si="11"/>
        <v>0.233996539792388</v>
      </c>
      <c r="BQ15" s="1" t="s">
        <v>78</v>
      </c>
      <c r="BR15" s="30">
        <f t="shared" si="61"/>
        <v>743.61791</v>
      </c>
      <c r="BS15" s="1" t="s">
        <v>78</v>
      </c>
      <c r="BT15" s="1">
        <f t="shared" si="62"/>
        <v>2884.501588</v>
      </c>
      <c r="BU15" s="1">
        <f t="shared" si="12"/>
        <v>0.257797712122459</v>
      </c>
      <c r="BV15" s="1" t="s">
        <v>78</v>
      </c>
      <c r="BW15" s="30">
        <f t="shared" si="63"/>
        <v>654.953492</v>
      </c>
      <c r="BX15" s="1" t="s">
        <v>78</v>
      </c>
      <c r="BY15" s="1">
        <f t="shared" si="64"/>
        <v>2372.455672</v>
      </c>
      <c r="BZ15" s="1">
        <f t="shared" si="13"/>
        <v>0.27606563938363</v>
      </c>
      <c r="CA15" s="1" t="s">
        <v>78</v>
      </c>
      <c r="CB15" s="30">
        <f t="shared" si="65"/>
        <v>573.410714</v>
      </c>
      <c r="CC15" s="1" t="s">
        <v>78</v>
      </c>
      <c r="CD15" s="1">
        <f t="shared" si="66"/>
        <v>2343.01956</v>
      </c>
      <c r="CE15" s="1">
        <f t="shared" si="14"/>
        <v>0.244731509625127</v>
      </c>
      <c r="CF15" s="1">
        <f t="shared" si="15"/>
        <v>0.834817753162188</v>
      </c>
      <c r="CG15" s="1">
        <f t="shared" si="16"/>
        <v>210.541402087452</v>
      </c>
      <c r="CH15" s="32">
        <v>0.0834</v>
      </c>
      <c r="CI15" s="1">
        <f t="shared" si="17"/>
        <v>5307.86078259222</v>
      </c>
    </row>
    <row r="16" s="1" customFormat="1" spans="1:87">
      <c r="A16" s="1">
        <v>14</v>
      </c>
      <c r="B16" s="1" t="s">
        <v>83</v>
      </c>
      <c r="C16" s="1" t="s">
        <v>84</v>
      </c>
      <c r="D16" s="1" t="s">
        <v>77</v>
      </c>
      <c r="E16" s="10">
        <v>0.118694</v>
      </c>
      <c r="F16" s="1">
        <v>0.0474776</v>
      </c>
      <c r="G16" s="1"/>
      <c r="H16" s="9"/>
      <c r="I16" s="13" t="s">
        <v>61</v>
      </c>
      <c r="J16" s="14">
        <v>88924</v>
      </c>
      <c r="K16" s="13" t="s">
        <v>78</v>
      </c>
      <c r="L16" s="1">
        <f t="shared" si="44"/>
        <v>2315.71994</v>
      </c>
      <c r="M16" s="13" t="s">
        <v>78</v>
      </c>
      <c r="N16" s="1">
        <f t="shared" si="45"/>
        <v>3447.111148</v>
      </c>
      <c r="O16" s="1">
        <f t="shared" si="0"/>
        <v>0.488569964120964</v>
      </c>
      <c r="P16" s="1" t="s">
        <v>78</v>
      </c>
      <c r="Q16" s="1">
        <v>0.5</v>
      </c>
      <c r="R16" s="1" t="s">
        <v>78</v>
      </c>
      <c r="S16" s="1">
        <f t="shared" si="46"/>
        <v>4.035596</v>
      </c>
      <c r="T16" s="1">
        <f t="shared" si="6"/>
        <v>7.071192</v>
      </c>
      <c r="U16" s="1">
        <f t="shared" si="7"/>
        <v>2.38994049103024</v>
      </c>
      <c r="V16" s="1" t="s">
        <v>78</v>
      </c>
      <c r="W16" s="1">
        <f t="shared" si="42"/>
        <v>1754.653402</v>
      </c>
      <c r="X16" s="1" t="s">
        <v>78</v>
      </c>
      <c r="Y16" s="1">
        <f t="shared" si="47"/>
        <v>1692.57644</v>
      </c>
      <c r="Z16" s="1" t="s">
        <v>78</v>
      </c>
      <c r="AA16" s="1">
        <f t="shared" si="48"/>
        <v>2151.091362</v>
      </c>
      <c r="AB16" s="1" t="s">
        <v>78</v>
      </c>
      <c r="AC16" s="1">
        <f t="shared" si="49"/>
        <v>1883.792474</v>
      </c>
      <c r="AD16" s="1" t="s">
        <v>78</v>
      </c>
      <c r="AE16" s="1">
        <f t="shared" si="50"/>
        <v>2416.01637</v>
      </c>
      <c r="AF16" s="1" t="s">
        <v>78</v>
      </c>
      <c r="AG16" s="1">
        <f t="shared" si="1"/>
        <v>1979.6260096</v>
      </c>
      <c r="AH16" s="1">
        <f t="shared" si="51"/>
        <v>2237.76924125184</v>
      </c>
      <c r="AI16" s="1">
        <f t="shared" si="2"/>
        <v>269.084042576732</v>
      </c>
      <c r="AJ16" s="1">
        <f t="shared" si="8"/>
        <v>0.879753444807293</v>
      </c>
      <c r="AK16" s="1" t="s">
        <v>78</v>
      </c>
      <c r="AL16" s="1">
        <f t="shared" si="52"/>
        <v>7621.93521</v>
      </c>
      <c r="AM16" s="1" t="s">
        <v>78</v>
      </c>
      <c r="AN16" s="1">
        <f t="shared" si="53"/>
        <v>2416.01637</v>
      </c>
      <c r="AO16" s="1">
        <f t="shared" si="9"/>
        <v>3.15475313190862</v>
      </c>
      <c r="AP16" s="1" t="s">
        <v>78</v>
      </c>
      <c r="AQ16" s="1">
        <f t="shared" si="54"/>
        <v>5299.805794</v>
      </c>
      <c r="AR16" s="1">
        <f t="shared" si="24"/>
        <v>2.81337029802785</v>
      </c>
      <c r="AS16" s="1" t="s">
        <v>78</v>
      </c>
      <c r="AT16" s="1">
        <f t="shared" si="55"/>
        <v>6370.30698</v>
      </c>
      <c r="AU16" s="1">
        <f t="shared" si="26"/>
        <v>2.96143022678364</v>
      </c>
      <c r="AV16" s="1" t="s">
        <v>78</v>
      </c>
      <c r="AW16" s="1">
        <f t="shared" si="56"/>
        <v>5163.189</v>
      </c>
      <c r="AX16" s="1">
        <f t="shared" si="28"/>
        <v>3.05049088359046</v>
      </c>
      <c r="AY16" s="1" t="s">
        <v>78</v>
      </c>
      <c r="AZ16" s="1">
        <f t="shared" si="57"/>
        <v>5060.637384</v>
      </c>
      <c r="BA16" s="1">
        <f t="shared" si="30"/>
        <v>2.88412365555029</v>
      </c>
      <c r="BB16" s="1" t="s">
        <v>61</v>
      </c>
      <c r="BC16" s="1">
        <v>182</v>
      </c>
      <c r="BD16" s="1" t="s">
        <v>61</v>
      </c>
      <c r="BE16" s="1">
        <v>3110</v>
      </c>
      <c r="BF16" s="1">
        <v>1.109</v>
      </c>
      <c r="BG16" s="1" t="s">
        <v>78</v>
      </c>
      <c r="BH16" s="30">
        <f t="shared" si="43"/>
        <v>2647.825752</v>
      </c>
      <c r="BI16" s="1" t="s">
        <v>78</v>
      </c>
      <c r="BJ16" s="1">
        <f t="shared" si="58"/>
        <v>3171.741068</v>
      </c>
      <c r="BK16" s="1">
        <f t="shared" si="10"/>
        <v>0.834817753162188</v>
      </c>
      <c r="BL16" s="1" t="s">
        <v>78</v>
      </c>
      <c r="BM16" s="30">
        <f t="shared" si="59"/>
        <v>577.921086</v>
      </c>
      <c r="BN16" s="1" t="s">
        <v>78</v>
      </c>
      <c r="BO16" s="1">
        <f t="shared" si="60"/>
        <v>2469.784752</v>
      </c>
      <c r="BP16" s="1">
        <f t="shared" si="11"/>
        <v>0.233996539792388</v>
      </c>
      <c r="BQ16" s="1" t="s">
        <v>78</v>
      </c>
      <c r="BR16" s="30">
        <f t="shared" si="61"/>
        <v>743.61791</v>
      </c>
      <c r="BS16" s="1" t="s">
        <v>78</v>
      </c>
      <c r="BT16" s="1">
        <f t="shared" si="62"/>
        <v>2884.501588</v>
      </c>
      <c r="BU16" s="1">
        <f t="shared" si="12"/>
        <v>0.257797712122459</v>
      </c>
      <c r="BV16" s="1" t="s">
        <v>78</v>
      </c>
      <c r="BW16" s="30">
        <f t="shared" si="63"/>
        <v>654.953492</v>
      </c>
      <c r="BX16" s="1" t="s">
        <v>78</v>
      </c>
      <c r="BY16" s="1">
        <f t="shared" si="64"/>
        <v>2372.455672</v>
      </c>
      <c r="BZ16" s="1">
        <f t="shared" si="13"/>
        <v>0.27606563938363</v>
      </c>
      <c r="CA16" s="1" t="s">
        <v>78</v>
      </c>
      <c r="CB16" s="30">
        <f t="shared" si="65"/>
        <v>573.410714</v>
      </c>
      <c r="CC16" s="1" t="s">
        <v>78</v>
      </c>
      <c r="CD16" s="1">
        <f t="shared" si="66"/>
        <v>2343.01956</v>
      </c>
      <c r="CE16" s="1">
        <f t="shared" si="14"/>
        <v>0.244731509625127</v>
      </c>
      <c r="CF16" s="1">
        <f t="shared" si="15"/>
        <v>0.834817753162188</v>
      </c>
      <c r="CG16" s="1">
        <f t="shared" si="16"/>
        <v>210.541402087452</v>
      </c>
      <c r="CH16" s="32">
        <v>0.0834</v>
      </c>
      <c r="CI16" s="1">
        <f t="shared" si="17"/>
        <v>5307.86078259222</v>
      </c>
    </row>
    <row r="17" s="1" customFormat="1" spans="1:87">
      <c r="A17" s="1">
        <v>15</v>
      </c>
      <c r="B17" s="1" t="s">
        <v>85</v>
      </c>
      <c r="C17" s="1" t="s">
        <v>86</v>
      </c>
      <c r="D17" s="1" t="s">
        <v>77</v>
      </c>
      <c r="E17" s="10">
        <v>0.118694</v>
      </c>
      <c r="F17" s="1">
        <v>0.0474776</v>
      </c>
      <c r="G17" s="1"/>
      <c r="H17" s="9"/>
      <c r="I17" s="13" t="s">
        <v>61</v>
      </c>
      <c r="J17" s="14">
        <v>88924</v>
      </c>
      <c r="K17" s="13" t="s">
        <v>78</v>
      </c>
      <c r="L17" s="1">
        <f t="shared" si="44"/>
        <v>2315.71994</v>
      </c>
      <c r="M17" s="13" t="s">
        <v>78</v>
      </c>
      <c r="N17" s="1">
        <f t="shared" si="45"/>
        <v>3447.111148</v>
      </c>
      <c r="O17" s="1">
        <f t="shared" si="0"/>
        <v>0.488569964120964</v>
      </c>
      <c r="P17" s="1" t="s">
        <v>78</v>
      </c>
      <c r="Q17" s="1">
        <v>0.5</v>
      </c>
      <c r="R17" s="1" t="s">
        <v>78</v>
      </c>
      <c r="S17" s="1">
        <f t="shared" si="46"/>
        <v>4.035596</v>
      </c>
      <c r="T17" s="1">
        <f t="shared" si="6"/>
        <v>7.071192</v>
      </c>
      <c r="U17" s="1">
        <f t="shared" si="7"/>
        <v>2.38994049103024</v>
      </c>
      <c r="V17" s="1" t="s">
        <v>78</v>
      </c>
      <c r="W17" s="1">
        <f t="shared" si="42"/>
        <v>1754.653402</v>
      </c>
      <c r="X17" s="1" t="s">
        <v>78</v>
      </c>
      <c r="Y17" s="1">
        <f t="shared" si="47"/>
        <v>1692.57644</v>
      </c>
      <c r="Z17" s="1" t="s">
        <v>78</v>
      </c>
      <c r="AA17" s="1">
        <f t="shared" si="48"/>
        <v>2151.091362</v>
      </c>
      <c r="AB17" s="1" t="s">
        <v>78</v>
      </c>
      <c r="AC17" s="1">
        <f t="shared" si="49"/>
        <v>1883.792474</v>
      </c>
      <c r="AD17" s="1" t="s">
        <v>78</v>
      </c>
      <c r="AE17" s="1">
        <f t="shared" si="50"/>
        <v>2416.01637</v>
      </c>
      <c r="AF17" s="1" t="s">
        <v>78</v>
      </c>
      <c r="AG17" s="1">
        <f t="shared" si="1"/>
        <v>1979.6260096</v>
      </c>
      <c r="AH17" s="1">
        <f t="shared" si="51"/>
        <v>2237.76924125184</v>
      </c>
      <c r="AI17" s="1">
        <f t="shared" si="2"/>
        <v>269.084042576732</v>
      </c>
      <c r="AJ17" s="1">
        <f t="shared" si="8"/>
        <v>0.879753444807293</v>
      </c>
      <c r="AK17" s="1" t="s">
        <v>78</v>
      </c>
      <c r="AL17" s="1">
        <f t="shared" si="52"/>
        <v>7621.93521</v>
      </c>
      <c r="AM17" s="1" t="s">
        <v>78</v>
      </c>
      <c r="AN17" s="1">
        <f t="shared" si="53"/>
        <v>2416.01637</v>
      </c>
      <c r="AO17" s="1">
        <f t="shared" si="9"/>
        <v>3.15475313190862</v>
      </c>
      <c r="AP17" s="1" t="s">
        <v>78</v>
      </c>
      <c r="AQ17" s="1">
        <f t="shared" si="54"/>
        <v>5299.805794</v>
      </c>
      <c r="AR17" s="1">
        <f t="shared" si="24"/>
        <v>2.81337029802785</v>
      </c>
      <c r="AS17" s="1" t="s">
        <v>78</v>
      </c>
      <c r="AT17" s="1">
        <f t="shared" si="55"/>
        <v>6370.30698</v>
      </c>
      <c r="AU17" s="1">
        <f t="shared" si="26"/>
        <v>2.96143022678364</v>
      </c>
      <c r="AV17" s="1" t="s">
        <v>78</v>
      </c>
      <c r="AW17" s="1">
        <f t="shared" si="56"/>
        <v>5163.189</v>
      </c>
      <c r="AX17" s="1">
        <f t="shared" si="28"/>
        <v>3.05049088359046</v>
      </c>
      <c r="AY17" s="1" t="s">
        <v>78</v>
      </c>
      <c r="AZ17" s="1">
        <f t="shared" si="57"/>
        <v>5060.637384</v>
      </c>
      <c r="BA17" s="1">
        <f t="shared" si="30"/>
        <v>2.88412365555029</v>
      </c>
      <c r="BB17" s="1" t="s">
        <v>61</v>
      </c>
      <c r="BC17" s="1">
        <v>182</v>
      </c>
      <c r="BD17" s="1" t="s">
        <v>61</v>
      </c>
      <c r="BE17" s="1">
        <v>3110</v>
      </c>
      <c r="BF17" s="1">
        <v>1.109</v>
      </c>
      <c r="BG17" s="1" t="s">
        <v>78</v>
      </c>
      <c r="BH17" s="30">
        <f t="shared" si="43"/>
        <v>2647.825752</v>
      </c>
      <c r="BI17" s="1" t="s">
        <v>78</v>
      </c>
      <c r="BJ17" s="1">
        <f t="shared" si="58"/>
        <v>3171.741068</v>
      </c>
      <c r="BK17" s="1">
        <f t="shared" si="10"/>
        <v>0.834817753162188</v>
      </c>
      <c r="BL17" s="1" t="s">
        <v>78</v>
      </c>
      <c r="BM17" s="30">
        <f t="shared" si="59"/>
        <v>577.921086</v>
      </c>
      <c r="BN17" s="1" t="s">
        <v>78</v>
      </c>
      <c r="BO17" s="1">
        <f t="shared" si="60"/>
        <v>2469.784752</v>
      </c>
      <c r="BP17" s="1">
        <f t="shared" si="11"/>
        <v>0.233996539792388</v>
      </c>
      <c r="BQ17" s="1" t="s">
        <v>78</v>
      </c>
      <c r="BR17" s="30">
        <f t="shared" si="61"/>
        <v>743.61791</v>
      </c>
      <c r="BS17" s="1" t="s">
        <v>78</v>
      </c>
      <c r="BT17" s="1">
        <f t="shared" si="62"/>
        <v>2884.501588</v>
      </c>
      <c r="BU17" s="1">
        <f t="shared" si="12"/>
        <v>0.257797712122459</v>
      </c>
      <c r="BV17" s="1" t="s">
        <v>78</v>
      </c>
      <c r="BW17" s="30">
        <f t="shared" si="63"/>
        <v>654.953492</v>
      </c>
      <c r="BX17" s="1" t="s">
        <v>78</v>
      </c>
      <c r="BY17" s="1">
        <f t="shared" si="64"/>
        <v>2372.455672</v>
      </c>
      <c r="BZ17" s="1">
        <f t="shared" si="13"/>
        <v>0.27606563938363</v>
      </c>
      <c r="CA17" s="1" t="s">
        <v>78</v>
      </c>
      <c r="CB17" s="30">
        <f t="shared" si="65"/>
        <v>573.410714</v>
      </c>
      <c r="CC17" s="1" t="s">
        <v>78</v>
      </c>
      <c r="CD17" s="1">
        <f t="shared" si="66"/>
        <v>2343.01956</v>
      </c>
      <c r="CE17" s="1">
        <f t="shared" si="14"/>
        <v>0.244731509625127</v>
      </c>
      <c r="CF17" s="1">
        <f t="shared" si="15"/>
        <v>0.834817753162188</v>
      </c>
      <c r="CG17" s="1">
        <f t="shared" si="16"/>
        <v>210.541402087452</v>
      </c>
      <c r="CH17" s="32">
        <v>0.0834</v>
      </c>
      <c r="CI17" s="1">
        <f t="shared" si="17"/>
        <v>5307.86078259222</v>
      </c>
    </row>
    <row r="18" s="1" customFormat="1" spans="1:87">
      <c r="A18" s="1">
        <v>16</v>
      </c>
      <c r="B18" s="1" t="s">
        <v>87</v>
      </c>
      <c r="C18" s="1" t="s">
        <v>88</v>
      </c>
      <c r="D18" s="1" t="s">
        <v>77</v>
      </c>
      <c r="E18" s="11">
        <v>0.2033</v>
      </c>
      <c r="F18" s="1">
        <v>0.08132</v>
      </c>
      <c r="G18" s="1"/>
      <c r="H18" s="9"/>
      <c r="I18" s="13" t="s">
        <v>61</v>
      </c>
      <c r="J18" s="14">
        <v>88924</v>
      </c>
      <c r="K18" s="13" t="s">
        <v>78</v>
      </c>
      <c r="L18" s="1">
        <f t="shared" si="44"/>
        <v>3966.383</v>
      </c>
      <c r="M18" s="13" t="s">
        <v>78</v>
      </c>
      <c r="N18" s="1">
        <f t="shared" si="45"/>
        <v>5904.2386</v>
      </c>
      <c r="O18" s="1">
        <f t="shared" si="0"/>
        <v>0.488569964120964</v>
      </c>
      <c r="P18" s="1" t="s">
        <v>78</v>
      </c>
      <c r="Q18" s="1">
        <v>0.5</v>
      </c>
      <c r="R18" s="1" t="s">
        <v>78</v>
      </c>
      <c r="S18" s="1">
        <f t="shared" si="46"/>
        <v>6.9122</v>
      </c>
      <c r="T18" s="1">
        <f t="shared" si="6"/>
        <v>12.8244</v>
      </c>
      <c r="U18" s="1">
        <f t="shared" si="7"/>
        <v>3.82824249103024</v>
      </c>
      <c r="V18" s="1" t="s">
        <v>78</v>
      </c>
      <c r="W18" s="1">
        <f t="shared" si="42"/>
        <v>3005.3839</v>
      </c>
      <c r="X18" s="1" t="s">
        <v>78</v>
      </c>
      <c r="Y18" s="1">
        <f t="shared" si="47"/>
        <v>2899.058</v>
      </c>
      <c r="Z18" s="1" t="s">
        <v>78</v>
      </c>
      <c r="AA18" s="1">
        <f t="shared" si="48"/>
        <v>3684.4059</v>
      </c>
      <c r="AB18" s="1" t="s">
        <v>78</v>
      </c>
      <c r="AC18" s="1">
        <f t="shared" si="49"/>
        <v>3226.5743</v>
      </c>
      <c r="AD18" s="1" t="s">
        <v>78</v>
      </c>
      <c r="AE18" s="1">
        <f t="shared" si="50"/>
        <v>4138.1715</v>
      </c>
      <c r="AF18" s="1" t="s">
        <v>78</v>
      </c>
      <c r="AG18" s="1">
        <f t="shared" si="1"/>
        <v>3390.71872</v>
      </c>
      <c r="AH18" s="1">
        <f t="shared" si="51"/>
        <v>3832.868441088</v>
      </c>
      <c r="AI18" s="1">
        <f t="shared" si="2"/>
        <v>460.889226547675</v>
      </c>
      <c r="AJ18" s="1">
        <f t="shared" si="8"/>
        <v>0.879753444807293</v>
      </c>
      <c r="AK18" s="1" t="s">
        <v>78</v>
      </c>
      <c r="AL18" s="1">
        <f t="shared" si="52"/>
        <v>13054.9095</v>
      </c>
      <c r="AM18" s="1" t="s">
        <v>78</v>
      </c>
      <c r="AN18" s="1">
        <f t="shared" si="53"/>
        <v>4138.1715</v>
      </c>
      <c r="AO18" s="1">
        <f t="shared" si="9"/>
        <v>3.15475313190862</v>
      </c>
      <c r="AP18" s="1" t="s">
        <v>78</v>
      </c>
      <c r="AQ18" s="1">
        <f t="shared" si="54"/>
        <v>9077.5483</v>
      </c>
      <c r="AR18" s="1">
        <f t="shared" si="24"/>
        <v>2.81337029802785</v>
      </c>
      <c r="AS18" s="1" t="s">
        <v>78</v>
      </c>
      <c r="AT18" s="1">
        <f t="shared" si="55"/>
        <v>10911.111</v>
      </c>
      <c r="AU18" s="1">
        <f t="shared" si="26"/>
        <v>2.96143022678365</v>
      </c>
      <c r="AV18" s="1" t="s">
        <v>78</v>
      </c>
      <c r="AW18" s="1">
        <f t="shared" si="56"/>
        <v>8843.55</v>
      </c>
      <c r="AX18" s="1">
        <f t="shared" si="28"/>
        <v>3.05049088359046</v>
      </c>
      <c r="AY18" s="1" t="s">
        <v>78</v>
      </c>
      <c r="AZ18" s="1">
        <f t="shared" si="57"/>
        <v>8667.8988</v>
      </c>
      <c r="BA18" s="1">
        <f t="shared" si="30"/>
        <v>2.88412365555029</v>
      </c>
      <c r="BB18" s="1" t="s">
        <v>61</v>
      </c>
      <c r="BC18" s="1">
        <v>182</v>
      </c>
      <c r="BD18" s="1" t="s">
        <v>61</v>
      </c>
      <c r="BE18" s="1">
        <v>3110</v>
      </c>
      <c r="BF18" s="1">
        <v>1.109</v>
      </c>
      <c r="BG18" s="1" t="s">
        <v>78</v>
      </c>
      <c r="BH18" s="30">
        <f t="shared" si="43"/>
        <v>4535.2164</v>
      </c>
      <c r="BI18" s="1" t="s">
        <v>78</v>
      </c>
      <c r="BJ18" s="1">
        <f t="shared" si="58"/>
        <v>5432.5826</v>
      </c>
      <c r="BK18" s="1">
        <f t="shared" si="10"/>
        <v>0.834817753162188</v>
      </c>
      <c r="BL18" s="1" t="s">
        <v>78</v>
      </c>
      <c r="BM18" s="30">
        <f t="shared" si="59"/>
        <v>989.8677</v>
      </c>
      <c r="BN18" s="1" t="s">
        <v>78</v>
      </c>
      <c r="BO18" s="1">
        <f t="shared" si="60"/>
        <v>4230.2664</v>
      </c>
      <c r="BP18" s="1">
        <f t="shared" si="11"/>
        <v>0.233996539792388</v>
      </c>
      <c r="BQ18" s="1" t="s">
        <v>78</v>
      </c>
      <c r="BR18" s="30">
        <f t="shared" si="61"/>
        <v>1273.6745</v>
      </c>
      <c r="BS18" s="1" t="s">
        <v>78</v>
      </c>
      <c r="BT18" s="1">
        <f t="shared" si="62"/>
        <v>4940.5966</v>
      </c>
      <c r="BU18" s="1">
        <f t="shared" si="12"/>
        <v>0.257797712122459</v>
      </c>
      <c r="BV18" s="1" t="s">
        <v>78</v>
      </c>
      <c r="BW18" s="30">
        <f t="shared" si="63"/>
        <v>1121.8094</v>
      </c>
      <c r="BX18" s="1" t="s">
        <v>78</v>
      </c>
      <c r="BY18" s="1">
        <f t="shared" si="64"/>
        <v>4063.5604</v>
      </c>
      <c r="BZ18" s="1">
        <f t="shared" si="13"/>
        <v>0.27606563938363</v>
      </c>
      <c r="CA18" s="1" t="s">
        <v>78</v>
      </c>
      <c r="CB18" s="30">
        <f t="shared" si="65"/>
        <v>982.1423</v>
      </c>
      <c r="CC18" s="1" t="s">
        <v>78</v>
      </c>
      <c r="CD18" s="1">
        <f t="shared" si="66"/>
        <v>4013.142</v>
      </c>
      <c r="CE18" s="1">
        <f t="shared" si="14"/>
        <v>0.244731509625127</v>
      </c>
      <c r="CF18" s="1">
        <f t="shared" si="15"/>
        <v>0.834817753162188</v>
      </c>
      <c r="CG18" s="1">
        <f t="shared" si="16"/>
        <v>360.172122194817</v>
      </c>
      <c r="CH18" s="32">
        <v>0.0834</v>
      </c>
      <c r="CI18" s="1">
        <f t="shared" si="17"/>
        <v>14544.6896742602</v>
      </c>
    </row>
    <row r="19" s="1" customFormat="1" spans="1:87">
      <c r="A19" s="1">
        <v>17</v>
      </c>
      <c r="B19" s="1" t="s">
        <v>89</v>
      </c>
      <c r="C19" s="1" t="s">
        <v>90</v>
      </c>
      <c r="D19" s="1" t="s">
        <v>77</v>
      </c>
      <c r="E19" s="10">
        <v>0.118694</v>
      </c>
      <c r="F19" s="1">
        <v>0.0474776</v>
      </c>
      <c r="G19" s="1"/>
      <c r="H19" s="9"/>
      <c r="I19" s="13" t="s">
        <v>61</v>
      </c>
      <c r="J19" s="14">
        <v>88924</v>
      </c>
      <c r="K19" s="13" t="s">
        <v>78</v>
      </c>
      <c r="L19" s="1">
        <f t="shared" si="44"/>
        <v>2315.71994</v>
      </c>
      <c r="M19" s="13" t="s">
        <v>78</v>
      </c>
      <c r="N19" s="1">
        <f t="shared" si="45"/>
        <v>3447.111148</v>
      </c>
      <c r="O19" s="1">
        <f t="shared" si="0"/>
        <v>0.488569964120964</v>
      </c>
      <c r="P19" s="1" t="s">
        <v>78</v>
      </c>
      <c r="Q19" s="1">
        <v>0.5</v>
      </c>
      <c r="R19" s="1" t="s">
        <v>78</v>
      </c>
      <c r="S19" s="1">
        <f t="shared" si="46"/>
        <v>4.035596</v>
      </c>
      <c r="T19" s="1">
        <f t="shared" si="6"/>
        <v>7.071192</v>
      </c>
      <c r="U19" s="1">
        <f t="shared" si="7"/>
        <v>2.38994049103024</v>
      </c>
      <c r="V19" s="1" t="s">
        <v>78</v>
      </c>
      <c r="W19" s="1">
        <f t="shared" si="42"/>
        <v>1754.653402</v>
      </c>
      <c r="X19" s="1" t="s">
        <v>78</v>
      </c>
      <c r="Y19" s="1">
        <f t="shared" si="47"/>
        <v>1692.57644</v>
      </c>
      <c r="Z19" s="1" t="s">
        <v>78</v>
      </c>
      <c r="AA19" s="1">
        <f t="shared" si="48"/>
        <v>2151.091362</v>
      </c>
      <c r="AB19" s="1" t="s">
        <v>78</v>
      </c>
      <c r="AC19" s="1">
        <f t="shared" si="49"/>
        <v>1883.792474</v>
      </c>
      <c r="AD19" s="1" t="s">
        <v>78</v>
      </c>
      <c r="AE19" s="1">
        <f t="shared" si="50"/>
        <v>2416.01637</v>
      </c>
      <c r="AF19" s="1" t="s">
        <v>78</v>
      </c>
      <c r="AG19" s="1">
        <f t="shared" si="1"/>
        <v>1979.6260096</v>
      </c>
      <c r="AH19" s="1">
        <f t="shared" si="51"/>
        <v>2237.76924125184</v>
      </c>
      <c r="AI19" s="1">
        <f t="shared" si="2"/>
        <v>269.084042576732</v>
      </c>
      <c r="AJ19" s="1">
        <f t="shared" si="8"/>
        <v>0.879753444807293</v>
      </c>
      <c r="AK19" s="1" t="s">
        <v>78</v>
      </c>
      <c r="AL19" s="1">
        <f t="shared" si="52"/>
        <v>7621.93521</v>
      </c>
      <c r="AM19" s="1" t="s">
        <v>78</v>
      </c>
      <c r="AN19" s="1">
        <f t="shared" si="53"/>
        <v>2416.01637</v>
      </c>
      <c r="AO19" s="1">
        <f t="shared" si="9"/>
        <v>3.15475313190862</v>
      </c>
      <c r="AP19" s="1" t="s">
        <v>78</v>
      </c>
      <c r="AQ19" s="1">
        <f t="shared" si="54"/>
        <v>5299.805794</v>
      </c>
      <c r="AR19" s="1">
        <f t="shared" si="24"/>
        <v>2.81337029802785</v>
      </c>
      <c r="AS19" s="1" t="s">
        <v>78</v>
      </c>
      <c r="AT19" s="1">
        <f t="shared" si="55"/>
        <v>6370.30698</v>
      </c>
      <c r="AU19" s="1">
        <f t="shared" si="26"/>
        <v>2.96143022678364</v>
      </c>
      <c r="AV19" s="1" t="s">
        <v>78</v>
      </c>
      <c r="AW19" s="1">
        <f t="shared" si="56"/>
        <v>5163.189</v>
      </c>
      <c r="AX19" s="1">
        <f t="shared" si="28"/>
        <v>3.05049088359046</v>
      </c>
      <c r="AY19" s="1" t="s">
        <v>78</v>
      </c>
      <c r="AZ19" s="1">
        <f t="shared" si="57"/>
        <v>5060.637384</v>
      </c>
      <c r="BA19" s="1">
        <f t="shared" si="30"/>
        <v>2.88412365555029</v>
      </c>
      <c r="BB19" s="1" t="s">
        <v>61</v>
      </c>
      <c r="BC19" s="1">
        <v>182</v>
      </c>
      <c r="BD19" s="1" t="s">
        <v>61</v>
      </c>
      <c r="BE19" s="1">
        <v>3110</v>
      </c>
      <c r="BF19" s="1">
        <v>1.109</v>
      </c>
      <c r="BG19" s="1" t="s">
        <v>78</v>
      </c>
      <c r="BH19" s="30">
        <f t="shared" si="43"/>
        <v>2647.825752</v>
      </c>
      <c r="BI19" s="1" t="s">
        <v>78</v>
      </c>
      <c r="BJ19" s="1">
        <f t="shared" si="58"/>
        <v>3171.741068</v>
      </c>
      <c r="BK19" s="1">
        <f t="shared" si="10"/>
        <v>0.834817753162188</v>
      </c>
      <c r="BL19" s="1" t="s">
        <v>78</v>
      </c>
      <c r="BM19" s="30">
        <f t="shared" si="59"/>
        <v>577.921086</v>
      </c>
      <c r="BN19" s="1" t="s">
        <v>78</v>
      </c>
      <c r="BO19" s="1">
        <f t="shared" si="60"/>
        <v>2469.784752</v>
      </c>
      <c r="BP19" s="1">
        <f t="shared" si="11"/>
        <v>0.233996539792388</v>
      </c>
      <c r="BQ19" s="1" t="s">
        <v>78</v>
      </c>
      <c r="BR19" s="30">
        <f t="shared" si="61"/>
        <v>743.61791</v>
      </c>
      <c r="BS19" s="1" t="s">
        <v>78</v>
      </c>
      <c r="BT19" s="1">
        <f t="shared" si="62"/>
        <v>2884.501588</v>
      </c>
      <c r="BU19" s="1">
        <f t="shared" si="12"/>
        <v>0.257797712122459</v>
      </c>
      <c r="BV19" s="1" t="s">
        <v>78</v>
      </c>
      <c r="BW19" s="30">
        <f t="shared" si="63"/>
        <v>654.953492</v>
      </c>
      <c r="BX19" s="1" t="s">
        <v>78</v>
      </c>
      <c r="BY19" s="1">
        <f t="shared" si="64"/>
        <v>2372.455672</v>
      </c>
      <c r="BZ19" s="1">
        <f t="shared" si="13"/>
        <v>0.27606563938363</v>
      </c>
      <c r="CA19" s="1" t="s">
        <v>78</v>
      </c>
      <c r="CB19" s="30">
        <f t="shared" si="65"/>
        <v>573.410714</v>
      </c>
      <c r="CC19" s="1" t="s">
        <v>78</v>
      </c>
      <c r="CD19" s="1">
        <f t="shared" si="66"/>
        <v>2343.01956</v>
      </c>
      <c r="CE19" s="1">
        <f t="shared" si="14"/>
        <v>0.244731509625127</v>
      </c>
      <c r="CF19" s="1">
        <f t="shared" si="15"/>
        <v>0.834817753162188</v>
      </c>
      <c r="CG19" s="1">
        <f t="shared" si="16"/>
        <v>210.541402087452</v>
      </c>
      <c r="CH19" s="32">
        <v>0.0834</v>
      </c>
      <c r="CI19" s="1">
        <f t="shared" si="17"/>
        <v>5307.86078259222</v>
      </c>
    </row>
    <row r="20" s="1" customFormat="1" spans="1:87">
      <c r="A20" s="1">
        <v>18</v>
      </c>
      <c r="B20" s="1" t="s">
        <v>91</v>
      </c>
      <c r="C20" s="1" t="s">
        <v>92</v>
      </c>
      <c r="D20" s="1" t="s">
        <v>93</v>
      </c>
      <c r="E20" s="11">
        <v>0.11</v>
      </c>
      <c r="F20" s="1">
        <v>0.0275</v>
      </c>
      <c r="G20" s="1"/>
      <c r="H20" s="9"/>
      <c r="I20" s="13" t="s">
        <v>61</v>
      </c>
      <c r="J20" s="14">
        <v>88924</v>
      </c>
      <c r="K20" s="13" t="s">
        <v>78</v>
      </c>
      <c r="L20" s="1">
        <f>9443*E20</f>
        <v>1038.73</v>
      </c>
      <c r="M20" s="13" t="s">
        <v>78</v>
      </c>
      <c r="N20" s="1">
        <f>13587*E20</f>
        <v>1494.57</v>
      </c>
      <c r="O20" s="1">
        <f t="shared" si="0"/>
        <v>0.438843587842846</v>
      </c>
      <c r="P20" s="1" t="s">
        <v>78</v>
      </c>
      <c r="Q20" s="1">
        <f>163*E20</f>
        <v>17.93</v>
      </c>
      <c r="R20" s="1" t="s">
        <v>78</v>
      </c>
      <c r="S20" s="1">
        <f>625.8*E20</f>
        <v>68.838</v>
      </c>
      <c r="T20" s="1">
        <f t="shared" si="6"/>
        <v>2.83926380368098</v>
      </c>
      <c r="U20" s="1">
        <f t="shared" si="7"/>
        <v>1.31952684788096</v>
      </c>
      <c r="V20" s="1" t="s">
        <v>78</v>
      </c>
      <c r="W20" s="1">
        <f>5344.7*E20</f>
        <v>587.917</v>
      </c>
      <c r="X20" s="1" t="s">
        <v>78</v>
      </c>
      <c r="Y20" s="1">
        <f>3467*E20</f>
        <v>381.37</v>
      </c>
      <c r="Z20" s="1" t="s">
        <v>78</v>
      </c>
      <c r="AA20" s="1">
        <f>4108.5*E20</f>
        <v>451.935</v>
      </c>
      <c r="AB20" s="1" t="s">
        <v>78</v>
      </c>
      <c r="AC20" s="1">
        <f>3590.6*E20</f>
        <v>394.966</v>
      </c>
      <c r="AD20" s="1" t="s">
        <v>78</v>
      </c>
      <c r="AE20" s="1">
        <f>4576.7*E20</f>
        <v>503.437</v>
      </c>
      <c r="AF20" s="1" t="s">
        <v>78</v>
      </c>
      <c r="AG20" s="1">
        <f t="shared" si="1"/>
        <v>463.925</v>
      </c>
      <c r="AH20" s="1">
        <f>AG20*1.1296</f>
        <v>524.04968</v>
      </c>
      <c r="AI20" s="1">
        <f t="shared" si="2"/>
        <v>75.6962958327553</v>
      </c>
      <c r="AJ20" s="1">
        <f t="shared" si="8"/>
        <v>0.855555114864768</v>
      </c>
      <c r="AK20" s="1" t="s">
        <v>78</v>
      </c>
      <c r="AL20" s="27">
        <v>1632.35</v>
      </c>
      <c r="AM20" s="1" t="s">
        <v>78</v>
      </c>
      <c r="AN20" s="1">
        <f>4576.7*E20</f>
        <v>503.437</v>
      </c>
      <c r="AO20" s="1">
        <f t="shared" si="9"/>
        <v>3.2424116622338</v>
      </c>
      <c r="AP20" s="1" t="s">
        <v>78</v>
      </c>
      <c r="AQ20" s="27">
        <f>2179.9*E20</f>
        <v>239.789</v>
      </c>
      <c r="AR20" s="1">
        <f t="shared" si="24"/>
        <v>0.60711301732301</v>
      </c>
      <c r="AS20" s="1" t="s">
        <v>78</v>
      </c>
      <c r="AT20" s="27">
        <f>15883.5*E20</f>
        <v>1747.185</v>
      </c>
      <c r="AU20" s="1">
        <f t="shared" si="26"/>
        <v>3.86600949251552</v>
      </c>
      <c r="AV20" s="1" t="s">
        <v>78</v>
      </c>
      <c r="AW20" s="27">
        <f>13665.2*E20</f>
        <v>1503.172</v>
      </c>
      <c r="AX20" s="1">
        <f t="shared" si="28"/>
        <v>3.94150562445919</v>
      </c>
      <c r="AY20" s="1" t="s">
        <v>78</v>
      </c>
      <c r="AZ20" s="27">
        <f>15477.7*E20</f>
        <v>1702.547</v>
      </c>
      <c r="BA20" s="1">
        <f t="shared" si="30"/>
        <v>2.89589686979625</v>
      </c>
      <c r="BB20" s="1" t="s">
        <v>61</v>
      </c>
      <c r="BC20" s="1">
        <v>182</v>
      </c>
      <c r="BD20" s="1" t="s">
        <v>61</v>
      </c>
      <c r="BE20" s="1">
        <v>3110</v>
      </c>
      <c r="BF20" s="1">
        <v>1.109</v>
      </c>
      <c r="BG20" s="1" t="s">
        <v>78</v>
      </c>
      <c r="BH20" s="1">
        <f>100*E20</f>
        <v>11</v>
      </c>
      <c r="BI20" s="1" t="s">
        <v>78</v>
      </c>
      <c r="BJ20" s="1">
        <f>8291.1*E20</f>
        <v>912.021</v>
      </c>
      <c r="BK20" s="1">
        <f t="shared" si="10"/>
        <v>0.0120611257854808</v>
      </c>
      <c r="BL20" s="1" t="s">
        <v>78</v>
      </c>
      <c r="BM20" s="1">
        <f>90*E20</f>
        <v>9.9</v>
      </c>
      <c r="BN20" s="1" t="s">
        <v>78</v>
      </c>
      <c r="BO20" s="1">
        <f>6374.4*E20</f>
        <v>701.184</v>
      </c>
      <c r="BP20" s="1">
        <f t="shared" si="11"/>
        <v>0.0141189759036145</v>
      </c>
      <c r="BQ20" s="1" t="s">
        <v>78</v>
      </c>
      <c r="BR20" s="1">
        <f>1098.8*E20</f>
        <v>120.868</v>
      </c>
      <c r="BS20" s="1" t="s">
        <v>78</v>
      </c>
      <c r="BT20" s="1">
        <f>7165.2*E20</f>
        <v>788.172</v>
      </c>
      <c r="BU20" s="1">
        <f t="shared" si="12"/>
        <v>0.153352313961927</v>
      </c>
      <c r="BV20" s="1" t="s">
        <v>78</v>
      </c>
      <c r="BW20" s="1">
        <f>490.1*E20</f>
        <v>53.911</v>
      </c>
      <c r="BX20" s="1" t="s">
        <v>78</v>
      </c>
      <c r="BY20" s="1">
        <f>6476.8*E20</f>
        <v>712.448</v>
      </c>
      <c r="BZ20" s="1">
        <f t="shared" si="13"/>
        <v>0.0756700839920949</v>
      </c>
      <c r="CA20" s="1" t="s">
        <v>78</v>
      </c>
      <c r="CB20" s="1">
        <f>596.7*E20</f>
        <v>65.637</v>
      </c>
      <c r="CC20" s="1" t="s">
        <v>78</v>
      </c>
      <c r="CD20" s="1">
        <f>7426.7*E20</f>
        <v>816.937</v>
      </c>
      <c r="CE20" s="1">
        <f t="shared" si="14"/>
        <v>0.0803452408202836</v>
      </c>
      <c r="CF20" s="1">
        <f t="shared" si="15"/>
        <v>0.0120611257854808</v>
      </c>
      <c r="CG20" s="1">
        <f t="shared" si="16"/>
        <v>14.5867100168987</v>
      </c>
      <c r="CH20" s="32">
        <v>0.0834</v>
      </c>
      <c r="CI20" s="1">
        <f t="shared" si="17"/>
        <v>197.450174433208</v>
      </c>
    </row>
    <row r="21" s="1" customFormat="1" spans="1:87">
      <c r="A21" s="1">
        <v>19</v>
      </c>
      <c r="B21" s="1" t="s">
        <v>94</v>
      </c>
      <c r="C21" s="1" t="s">
        <v>95</v>
      </c>
      <c r="D21" s="1" t="s">
        <v>93</v>
      </c>
      <c r="E21" s="11">
        <v>0.11</v>
      </c>
      <c r="F21" s="1">
        <v>0.0275</v>
      </c>
      <c r="G21" s="1"/>
      <c r="H21" s="9"/>
      <c r="I21" s="13" t="s">
        <v>61</v>
      </c>
      <c r="J21" s="14">
        <v>88924</v>
      </c>
      <c r="K21" s="13" t="s">
        <v>78</v>
      </c>
      <c r="L21" s="1">
        <f>9443*E21</f>
        <v>1038.73</v>
      </c>
      <c r="M21" s="13" t="s">
        <v>78</v>
      </c>
      <c r="N21" s="1">
        <f>13587*E21</f>
        <v>1494.57</v>
      </c>
      <c r="O21" s="1">
        <f t="shared" si="0"/>
        <v>0.438843587842846</v>
      </c>
      <c r="P21" s="1" t="s">
        <v>78</v>
      </c>
      <c r="Q21" s="1">
        <f>163*E21</f>
        <v>17.93</v>
      </c>
      <c r="R21" s="1" t="s">
        <v>78</v>
      </c>
      <c r="S21" s="1">
        <f>625.8*E21</f>
        <v>68.838</v>
      </c>
      <c r="T21" s="1">
        <f t="shared" si="6"/>
        <v>2.83926380368098</v>
      </c>
      <c r="U21" s="1">
        <f t="shared" si="7"/>
        <v>1.31952684788096</v>
      </c>
      <c r="V21" s="1" t="s">
        <v>78</v>
      </c>
      <c r="W21" s="1">
        <f>5344.7*E21</f>
        <v>587.917</v>
      </c>
      <c r="X21" s="1" t="s">
        <v>78</v>
      </c>
      <c r="Y21" s="1">
        <f>3467*E21</f>
        <v>381.37</v>
      </c>
      <c r="Z21" s="1" t="s">
        <v>78</v>
      </c>
      <c r="AA21" s="1">
        <f>4108.5*E21</f>
        <v>451.935</v>
      </c>
      <c r="AB21" s="1" t="s">
        <v>78</v>
      </c>
      <c r="AC21" s="1">
        <f>3590.6*E21</f>
        <v>394.966</v>
      </c>
      <c r="AD21" s="1" t="s">
        <v>78</v>
      </c>
      <c r="AE21" s="1">
        <f>4576.7*E21</f>
        <v>503.437</v>
      </c>
      <c r="AF21" s="1" t="s">
        <v>78</v>
      </c>
      <c r="AG21" s="1">
        <f t="shared" si="1"/>
        <v>463.925</v>
      </c>
      <c r="AH21" s="1">
        <f>AG21*1.1296</f>
        <v>524.04968</v>
      </c>
      <c r="AI21" s="1">
        <f t="shared" si="2"/>
        <v>75.6962958327553</v>
      </c>
      <c r="AJ21" s="1">
        <f t="shared" si="8"/>
        <v>0.855555114864768</v>
      </c>
      <c r="AK21" s="1" t="s">
        <v>78</v>
      </c>
      <c r="AL21" s="27">
        <v>1632.35</v>
      </c>
      <c r="AM21" s="1" t="s">
        <v>78</v>
      </c>
      <c r="AN21" s="1">
        <f>4576.7*E21</f>
        <v>503.437</v>
      </c>
      <c r="AO21" s="1">
        <f t="shared" si="9"/>
        <v>3.2424116622338</v>
      </c>
      <c r="AP21" s="1" t="s">
        <v>78</v>
      </c>
      <c r="AQ21" s="27">
        <f>2179.9*E21</f>
        <v>239.789</v>
      </c>
      <c r="AR21" s="1">
        <f t="shared" si="24"/>
        <v>0.60711301732301</v>
      </c>
      <c r="AS21" s="1" t="s">
        <v>78</v>
      </c>
      <c r="AT21" s="27">
        <f>15883.5*E21</f>
        <v>1747.185</v>
      </c>
      <c r="AU21" s="1">
        <f t="shared" si="26"/>
        <v>3.86600949251552</v>
      </c>
      <c r="AV21" s="1" t="s">
        <v>78</v>
      </c>
      <c r="AW21" s="27">
        <f>13665.2*E21</f>
        <v>1503.172</v>
      </c>
      <c r="AX21" s="1">
        <f t="shared" si="28"/>
        <v>3.94150562445919</v>
      </c>
      <c r="AY21" s="1" t="s">
        <v>78</v>
      </c>
      <c r="AZ21" s="27">
        <f>15477.7*E21</f>
        <v>1702.547</v>
      </c>
      <c r="BA21" s="1">
        <f t="shared" si="30"/>
        <v>2.89589686979625</v>
      </c>
      <c r="BB21" s="1" t="s">
        <v>61</v>
      </c>
      <c r="BC21" s="1">
        <v>182</v>
      </c>
      <c r="BD21" s="1" t="s">
        <v>61</v>
      </c>
      <c r="BE21" s="1">
        <v>3110</v>
      </c>
      <c r="BF21" s="1">
        <v>1.109</v>
      </c>
      <c r="BG21" s="1" t="s">
        <v>78</v>
      </c>
      <c r="BH21" s="1">
        <f>100*E21</f>
        <v>11</v>
      </c>
      <c r="BI21" s="1" t="s">
        <v>78</v>
      </c>
      <c r="BJ21" s="1">
        <f>8291.1*E21</f>
        <v>912.021</v>
      </c>
      <c r="BK21" s="1">
        <f t="shared" si="10"/>
        <v>0.0120611257854808</v>
      </c>
      <c r="BL21" s="1" t="s">
        <v>78</v>
      </c>
      <c r="BM21" s="1">
        <f>90*E21</f>
        <v>9.9</v>
      </c>
      <c r="BN21" s="1" t="s">
        <v>78</v>
      </c>
      <c r="BO21" s="1">
        <f>6374.4*E21</f>
        <v>701.184</v>
      </c>
      <c r="BP21" s="1">
        <f t="shared" si="11"/>
        <v>0.0141189759036145</v>
      </c>
      <c r="BQ21" s="1" t="s">
        <v>78</v>
      </c>
      <c r="BR21" s="1">
        <f>1098.8*E21</f>
        <v>120.868</v>
      </c>
      <c r="BS21" s="1" t="s">
        <v>78</v>
      </c>
      <c r="BT21" s="1">
        <f>7165.2*E21</f>
        <v>788.172</v>
      </c>
      <c r="BU21" s="1">
        <f t="shared" si="12"/>
        <v>0.153352313961927</v>
      </c>
      <c r="BV21" s="1" t="s">
        <v>78</v>
      </c>
      <c r="BW21" s="1">
        <f>490.1*E21</f>
        <v>53.911</v>
      </c>
      <c r="BX21" s="1" t="s">
        <v>78</v>
      </c>
      <c r="BY21" s="1">
        <f>6476.8*E21</f>
        <v>712.448</v>
      </c>
      <c r="BZ21" s="1">
        <f t="shared" si="13"/>
        <v>0.0756700839920949</v>
      </c>
      <c r="CA21" s="1" t="s">
        <v>78</v>
      </c>
      <c r="CB21" s="1">
        <f>596.7*E21</f>
        <v>65.637</v>
      </c>
      <c r="CC21" s="1" t="s">
        <v>78</v>
      </c>
      <c r="CD21" s="1">
        <f>7426.7*E21</f>
        <v>816.937</v>
      </c>
      <c r="CE21" s="1">
        <f t="shared" si="14"/>
        <v>0.0803452408202836</v>
      </c>
      <c r="CF21" s="1">
        <f t="shared" si="15"/>
        <v>0.0120611257854808</v>
      </c>
      <c r="CG21" s="1">
        <f t="shared" si="16"/>
        <v>14.5867100168987</v>
      </c>
      <c r="CH21" s="32">
        <v>0.0834</v>
      </c>
      <c r="CI21" s="1">
        <f t="shared" si="17"/>
        <v>197.450174433208</v>
      </c>
    </row>
    <row r="22" s="1" customFormat="1" spans="1:87">
      <c r="A22" s="1">
        <v>20</v>
      </c>
      <c r="B22" s="1" t="s">
        <v>96</v>
      </c>
      <c r="C22" s="1" t="s">
        <v>97</v>
      </c>
      <c r="D22" s="1" t="s">
        <v>93</v>
      </c>
      <c r="E22" s="11">
        <v>0.09</v>
      </c>
      <c r="F22" s="11">
        <v>0.0225</v>
      </c>
      <c r="G22" s="1"/>
      <c r="H22" s="9"/>
      <c r="I22" s="13" t="s">
        <v>61</v>
      </c>
      <c r="J22" s="14">
        <v>88924</v>
      </c>
      <c r="K22" s="13" t="s">
        <v>78</v>
      </c>
      <c r="L22" s="1">
        <f>9443*E22</f>
        <v>849.87</v>
      </c>
      <c r="M22" s="13" t="s">
        <v>78</v>
      </c>
      <c r="N22" s="1">
        <f>0.77*AL22</f>
        <v>1157.156</v>
      </c>
      <c r="O22" s="1">
        <f t="shared" si="0"/>
        <v>0.361568239848447</v>
      </c>
      <c r="P22" s="1" t="s">
        <v>78</v>
      </c>
      <c r="Q22" s="1">
        <f>163*E22</f>
        <v>14.67</v>
      </c>
      <c r="R22" s="1" t="s">
        <v>78</v>
      </c>
      <c r="S22" s="1">
        <f>625.8*E22</f>
        <v>56.322</v>
      </c>
      <c r="T22" s="1">
        <f t="shared" si="6"/>
        <v>2.83926380368098</v>
      </c>
      <c r="U22" s="1">
        <f t="shared" si="7"/>
        <v>1.30020801088236</v>
      </c>
      <c r="V22" s="1" t="s">
        <v>78</v>
      </c>
      <c r="W22" s="1">
        <f>5344.7*E22</f>
        <v>481.023</v>
      </c>
      <c r="X22" s="1" t="s">
        <v>78</v>
      </c>
      <c r="Y22" s="1">
        <f>3467*E22</f>
        <v>312.03</v>
      </c>
      <c r="Z22" s="1" t="s">
        <v>78</v>
      </c>
      <c r="AA22" s="1">
        <f>4108.5*E22</f>
        <v>369.765</v>
      </c>
      <c r="AB22" s="1" t="s">
        <v>78</v>
      </c>
      <c r="AC22" s="1">
        <f>3590.6*E22</f>
        <v>323.154</v>
      </c>
      <c r="AD22" s="1" t="s">
        <v>78</v>
      </c>
      <c r="AE22" s="1">
        <f>4576.7*E22</f>
        <v>411.903</v>
      </c>
      <c r="AF22" s="1" t="s">
        <v>78</v>
      </c>
      <c r="AG22" s="1">
        <f t="shared" si="1"/>
        <v>379.575</v>
      </c>
      <c r="AH22" s="1">
        <f>AG22*1.1296</f>
        <v>428.76792</v>
      </c>
      <c r="AI22" s="1">
        <f t="shared" si="2"/>
        <v>61.9333329540725</v>
      </c>
      <c r="AJ22" s="1">
        <f t="shared" si="8"/>
        <v>0.855555114864768</v>
      </c>
      <c r="AK22" s="1" t="s">
        <v>78</v>
      </c>
      <c r="AL22" s="27">
        <v>1502.8</v>
      </c>
      <c r="AM22" s="1" t="s">
        <v>78</v>
      </c>
      <c r="AN22" s="1">
        <f>4576.7*E22</f>
        <v>411.903</v>
      </c>
      <c r="AO22" s="1">
        <f t="shared" si="9"/>
        <v>3.64843179097992</v>
      </c>
      <c r="AP22" s="1" t="s">
        <v>78</v>
      </c>
      <c r="AQ22" s="27">
        <f>2179.9*E22</f>
        <v>196.191</v>
      </c>
      <c r="AR22" s="1">
        <f t="shared" si="24"/>
        <v>0.60711301732301</v>
      </c>
      <c r="AS22" s="1" t="s">
        <v>78</v>
      </c>
      <c r="AT22" s="27">
        <f>15883.5*E22</f>
        <v>1429.515</v>
      </c>
      <c r="AU22" s="1">
        <f t="shared" si="26"/>
        <v>3.86600949251552</v>
      </c>
      <c r="AV22" s="1" t="s">
        <v>78</v>
      </c>
      <c r="AW22" s="27">
        <f>13665.2*E22</f>
        <v>1229.868</v>
      </c>
      <c r="AX22" s="1">
        <f t="shared" si="28"/>
        <v>3.94150562445919</v>
      </c>
      <c r="AY22" s="1" t="s">
        <v>78</v>
      </c>
      <c r="AZ22" s="27">
        <f>15477.7*E22</f>
        <v>1392.993</v>
      </c>
      <c r="BA22" s="1">
        <f t="shared" si="30"/>
        <v>2.89589686979625</v>
      </c>
      <c r="BB22" s="1" t="s">
        <v>61</v>
      </c>
      <c r="BC22" s="1">
        <v>182</v>
      </c>
      <c r="BD22" s="1" t="s">
        <v>61</v>
      </c>
      <c r="BE22" s="1">
        <v>3110</v>
      </c>
      <c r="BF22" s="1">
        <v>1.109</v>
      </c>
      <c r="BG22" s="1" t="s">
        <v>78</v>
      </c>
      <c r="BH22" s="1">
        <f>100*E22</f>
        <v>9</v>
      </c>
      <c r="BI22" s="1" t="s">
        <v>78</v>
      </c>
      <c r="BJ22" s="1">
        <f>8291.1*E22</f>
        <v>746.199</v>
      </c>
      <c r="BK22" s="1">
        <f t="shared" si="10"/>
        <v>0.0120611257854808</v>
      </c>
      <c r="BL22" s="1" t="s">
        <v>78</v>
      </c>
      <c r="BM22" s="1">
        <f>90*E22</f>
        <v>8.1</v>
      </c>
      <c r="BN22" s="1" t="s">
        <v>78</v>
      </c>
      <c r="BO22" s="1">
        <f>6374.4*E22</f>
        <v>573.696</v>
      </c>
      <c r="BP22" s="1">
        <f t="shared" si="11"/>
        <v>0.0141189759036145</v>
      </c>
      <c r="BQ22" s="1" t="s">
        <v>78</v>
      </c>
      <c r="BR22" s="1">
        <f>1098.8*E22</f>
        <v>98.892</v>
      </c>
      <c r="BS22" s="1" t="s">
        <v>78</v>
      </c>
      <c r="BT22" s="1">
        <f>7165.2*E22</f>
        <v>644.868</v>
      </c>
      <c r="BU22" s="1">
        <f t="shared" si="12"/>
        <v>0.153352313961927</v>
      </c>
      <c r="BV22" s="1" t="s">
        <v>78</v>
      </c>
      <c r="BW22" s="1">
        <f>490.1*E22</f>
        <v>44.109</v>
      </c>
      <c r="BX22" s="1" t="s">
        <v>78</v>
      </c>
      <c r="BY22" s="1">
        <f>6476.8*E22</f>
        <v>582.912</v>
      </c>
      <c r="BZ22" s="1">
        <f t="shared" si="13"/>
        <v>0.0756700839920949</v>
      </c>
      <c r="CA22" s="1" t="s">
        <v>78</v>
      </c>
      <c r="CB22" s="1">
        <f>596.7*E22</f>
        <v>53.703</v>
      </c>
      <c r="CC22" s="1" t="s">
        <v>78</v>
      </c>
      <c r="CD22" s="1">
        <f>7426.7*E22</f>
        <v>668.403</v>
      </c>
      <c r="CE22" s="1">
        <f t="shared" si="14"/>
        <v>0.0803452408202836</v>
      </c>
      <c r="CF22" s="1">
        <f t="shared" si="15"/>
        <v>0.0120611257854808</v>
      </c>
      <c r="CG22" s="1">
        <f t="shared" si="16"/>
        <v>11.9594066963404</v>
      </c>
      <c r="CH22" s="32">
        <v>0.0834</v>
      </c>
      <c r="CI22" s="1">
        <f t="shared" si="17"/>
        <v>159.516059878377</v>
      </c>
    </row>
    <row r="23" s="1" customFormat="1" spans="1:87">
      <c r="A23" s="1">
        <v>21</v>
      </c>
      <c r="B23" s="1" t="s">
        <v>98</v>
      </c>
      <c r="C23" s="1" t="s">
        <v>99</v>
      </c>
      <c r="D23" s="1" t="s">
        <v>93</v>
      </c>
      <c r="E23" s="11">
        <v>0.55</v>
      </c>
      <c r="F23" s="11">
        <v>0.1375</v>
      </c>
      <c r="G23" s="1"/>
      <c r="H23" s="9"/>
      <c r="I23" s="13" t="s">
        <v>61</v>
      </c>
      <c r="J23" s="14">
        <v>88924</v>
      </c>
      <c r="K23" s="13" t="s">
        <v>78</v>
      </c>
      <c r="L23" s="1">
        <f>9443*E22</f>
        <v>849.87</v>
      </c>
      <c r="M23" s="13" t="s">
        <v>78</v>
      </c>
      <c r="N23" s="1">
        <v>8075.9</v>
      </c>
      <c r="O23" s="1">
        <f t="shared" si="0"/>
        <v>8.50251214891689</v>
      </c>
      <c r="P23" s="1" t="s">
        <v>78</v>
      </c>
      <c r="Q23" s="1">
        <f>163*E23</f>
        <v>89.65</v>
      </c>
      <c r="R23" s="1" t="s">
        <v>78</v>
      </c>
      <c r="S23" s="1">
        <f>625.8*E23</f>
        <v>344.19</v>
      </c>
      <c r="T23" s="1">
        <f t="shared" si="6"/>
        <v>2.83926380368098</v>
      </c>
      <c r="U23" s="1">
        <f t="shared" si="7"/>
        <v>3.33544398814947</v>
      </c>
      <c r="V23" s="1" t="s">
        <v>78</v>
      </c>
      <c r="W23" s="1">
        <f>5344.7*E23</f>
        <v>2939.585</v>
      </c>
      <c r="X23" s="1" t="s">
        <v>78</v>
      </c>
      <c r="Y23" s="1">
        <f>3467*E23</f>
        <v>1906.85</v>
      </c>
      <c r="Z23" s="1" t="s">
        <v>78</v>
      </c>
      <c r="AA23" s="1">
        <f>4108.5*E23</f>
        <v>2259.675</v>
      </c>
      <c r="AB23" s="1" t="s">
        <v>78</v>
      </c>
      <c r="AC23" s="1">
        <f>3590.6*E23</f>
        <v>1974.83</v>
      </c>
      <c r="AD23" s="1" t="s">
        <v>78</v>
      </c>
      <c r="AE23" s="1">
        <f>4576.7*E23</f>
        <v>2517.185</v>
      </c>
      <c r="AF23" s="1" t="s">
        <v>78</v>
      </c>
      <c r="AG23" s="1">
        <f t="shared" si="1"/>
        <v>2319.625</v>
      </c>
      <c r="AH23" s="1">
        <f>AG23*1.1296</f>
        <v>2620.2484</v>
      </c>
      <c r="AI23" s="1">
        <f t="shared" si="2"/>
        <v>378.481479163776</v>
      </c>
      <c r="AJ23" s="1">
        <f t="shared" si="8"/>
        <v>0.855555114864768</v>
      </c>
      <c r="AK23" s="1" t="s">
        <v>78</v>
      </c>
      <c r="AL23" s="27">
        <v>9730.9</v>
      </c>
      <c r="AM23" s="1" t="s">
        <v>78</v>
      </c>
      <c r="AN23" s="1">
        <f>4576.7*E23</f>
        <v>2517.185</v>
      </c>
      <c r="AO23" s="1">
        <f t="shared" si="9"/>
        <v>3.86578658302826</v>
      </c>
      <c r="AP23" s="1" t="s">
        <v>78</v>
      </c>
      <c r="AQ23" s="27">
        <f>2179.9*E23</f>
        <v>1198.945</v>
      </c>
      <c r="AR23" s="1">
        <f t="shared" si="24"/>
        <v>0.60711301732301</v>
      </c>
      <c r="AS23" s="1" t="s">
        <v>78</v>
      </c>
      <c r="AT23" s="27">
        <f>15883.5*E23</f>
        <v>8735.925</v>
      </c>
      <c r="AU23" s="1">
        <f t="shared" si="26"/>
        <v>3.86600949251552</v>
      </c>
      <c r="AV23" s="1" t="s">
        <v>78</v>
      </c>
      <c r="AW23" s="27">
        <f>13665.2*E23</f>
        <v>7515.86</v>
      </c>
      <c r="AX23" s="1">
        <f t="shared" si="28"/>
        <v>3.94150562445919</v>
      </c>
      <c r="AY23" s="1" t="s">
        <v>78</v>
      </c>
      <c r="AZ23" s="27">
        <f>15477.7*E23</f>
        <v>8512.735</v>
      </c>
      <c r="BA23" s="1">
        <f t="shared" si="30"/>
        <v>2.89589686979625</v>
      </c>
      <c r="BB23" s="1" t="s">
        <v>61</v>
      </c>
      <c r="BC23" s="1">
        <v>182</v>
      </c>
      <c r="BD23" s="1" t="s">
        <v>61</v>
      </c>
      <c r="BE23" s="1">
        <v>3110</v>
      </c>
      <c r="BF23" s="1">
        <v>1.109</v>
      </c>
      <c r="BG23" s="1" t="s">
        <v>78</v>
      </c>
      <c r="BH23" s="1">
        <f>100*E23</f>
        <v>55</v>
      </c>
      <c r="BI23" s="1" t="s">
        <v>78</v>
      </c>
      <c r="BJ23" s="1">
        <f>8291.1*E23</f>
        <v>4560.105</v>
      </c>
      <c r="BK23" s="1">
        <f t="shared" si="10"/>
        <v>0.0120611257854808</v>
      </c>
      <c r="BL23" s="1" t="s">
        <v>78</v>
      </c>
      <c r="BM23" s="1">
        <f>90*E23</f>
        <v>49.5</v>
      </c>
      <c r="BN23" s="1" t="s">
        <v>78</v>
      </c>
      <c r="BO23" s="1">
        <f>6374.4*E23</f>
        <v>3505.92</v>
      </c>
      <c r="BP23" s="1">
        <f t="shared" si="11"/>
        <v>0.0141189759036145</v>
      </c>
      <c r="BQ23" s="1" t="s">
        <v>78</v>
      </c>
      <c r="BR23" s="1">
        <f>1098.8*E23</f>
        <v>604.34</v>
      </c>
      <c r="BS23" s="1" t="s">
        <v>78</v>
      </c>
      <c r="BT23" s="1">
        <f>7165.2*E23</f>
        <v>3940.86</v>
      </c>
      <c r="BU23" s="1">
        <f t="shared" si="12"/>
        <v>0.153352313961927</v>
      </c>
      <c r="BV23" s="1" t="s">
        <v>78</v>
      </c>
      <c r="BW23" s="1">
        <f>490.1*E23</f>
        <v>269.555</v>
      </c>
      <c r="BX23" s="1" t="s">
        <v>78</v>
      </c>
      <c r="BY23" s="1">
        <f>6476.8*E23</f>
        <v>3562.24</v>
      </c>
      <c r="BZ23" s="1">
        <f t="shared" si="13"/>
        <v>0.0756700839920949</v>
      </c>
      <c r="CA23" s="1" t="s">
        <v>78</v>
      </c>
      <c r="CB23" s="1">
        <f>596.7*E23</f>
        <v>328.185</v>
      </c>
      <c r="CC23" s="1" t="s">
        <v>78</v>
      </c>
      <c r="CD23" s="1">
        <f>7426.7*E23</f>
        <v>4084.685</v>
      </c>
      <c r="CE23" s="1">
        <f t="shared" si="14"/>
        <v>0.0803452408202836</v>
      </c>
      <c r="CF23" s="1">
        <f t="shared" si="15"/>
        <v>0.0120611257854808</v>
      </c>
      <c r="CG23" s="1">
        <f t="shared" si="16"/>
        <v>72.4104338531605</v>
      </c>
      <c r="CH23" s="32">
        <v>0.0834</v>
      </c>
      <c r="CI23" s="1">
        <f t="shared" si="17"/>
        <v>2477.63166585612</v>
      </c>
    </row>
    <row r="24" s="1" customFormat="1" spans="1:87">
      <c r="A24" s="1">
        <v>22</v>
      </c>
      <c r="B24" s="1" t="s">
        <v>100</v>
      </c>
      <c r="C24" s="1" t="s">
        <v>101</v>
      </c>
      <c r="D24" s="1" t="s">
        <v>93</v>
      </c>
      <c r="E24" s="11">
        <v>0.14</v>
      </c>
      <c r="F24" s="11">
        <v>0.035</v>
      </c>
      <c r="G24" s="1"/>
      <c r="H24" s="9"/>
      <c r="I24" s="13" t="s">
        <v>61</v>
      </c>
      <c r="J24" s="14">
        <v>88924</v>
      </c>
      <c r="K24" s="13" t="s">
        <v>78</v>
      </c>
      <c r="L24" s="1">
        <f>9443*E24</f>
        <v>1322.02</v>
      </c>
      <c r="M24" s="13" t="s">
        <v>78</v>
      </c>
      <c r="N24" s="1">
        <v>1840.33</v>
      </c>
      <c r="O24" s="1">
        <f t="shared" si="0"/>
        <v>0.392059121647176</v>
      </c>
      <c r="P24" s="1" t="s">
        <v>78</v>
      </c>
      <c r="Q24" s="1">
        <f>163*E24</f>
        <v>22.82</v>
      </c>
      <c r="R24" s="1" t="s">
        <v>78</v>
      </c>
      <c r="S24" s="1">
        <f>625.8*E24</f>
        <v>87.612</v>
      </c>
      <c r="T24" s="1">
        <f t="shared" si="6"/>
        <v>2.83926380368098</v>
      </c>
      <c r="U24" s="1">
        <f t="shared" si="7"/>
        <v>1.30783073133204</v>
      </c>
      <c r="V24" s="1" t="s">
        <v>78</v>
      </c>
      <c r="W24" s="1">
        <f>5344.7*E24</f>
        <v>748.258</v>
      </c>
      <c r="X24" s="1" t="s">
        <v>78</v>
      </c>
      <c r="Y24" s="1">
        <f>3467*E24</f>
        <v>485.38</v>
      </c>
      <c r="Z24" s="1" t="s">
        <v>78</v>
      </c>
      <c r="AA24" s="1">
        <f>4108.5*E24</f>
        <v>575.19</v>
      </c>
      <c r="AB24" s="1" t="s">
        <v>78</v>
      </c>
      <c r="AC24" s="1">
        <f>3590.6*E24</f>
        <v>502.684</v>
      </c>
      <c r="AD24" s="1" t="s">
        <v>78</v>
      </c>
      <c r="AE24" s="1">
        <f>4576.7*E24</f>
        <v>640.738</v>
      </c>
      <c r="AF24" s="1" t="s">
        <v>78</v>
      </c>
      <c r="AG24" s="1">
        <f t="shared" si="1"/>
        <v>590.45</v>
      </c>
      <c r="AH24" s="1">
        <f>AG24*1.1296</f>
        <v>666.97232</v>
      </c>
      <c r="AI24" s="1">
        <f t="shared" si="2"/>
        <v>96.3407401507794</v>
      </c>
      <c r="AJ24" s="1">
        <f t="shared" si="8"/>
        <v>0.855555114864768</v>
      </c>
      <c r="AK24" s="1" t="s">
        <v>78</v>
      </c>
      <c r="AL24" s="27">
        <v>2521</v>
      </c>
      <c r="AM24" s="1" t="s">
        <v>78</v>
      </c>
      <c r="AN24" s="1">
        <f>4576.7*E24</f>
        <v>640.738</v>
      </c>
      <c r="AO24" s="1">
        <f t="shared" si="9"/>
        <v>3.93452550028249</v>
      </c>
      <c r="AP24" s="1" t="s">
        <v>78</v>
      </c>
      <c r="AQ24" s="27">
        <f>2179.9*E24</f>
        <v>305.186</v>
      </c>
      <c r="AR24" s="1">
        <f t="shared" si="24"/>
        <v>0.60711301732301</v>
      </c>
      <c r="AS24" s="1" t="s">
        <v>78</v>
      </c>
      <c r="AT24" s="27">
        <f>15883.5*E24</f>
        <v>2223.69</v>
      </c>
      <c r="AU24" s="1">
        <f t="shared" si="26"/>
        <v>3.86600949251552</v>
      </c>
      <c r="AV24" s="1" t="s">
        <v>78</v>
      </c>
      <c r="AW24" s="27">
        <f>13665.2*E24</f>
        <v>1913.128</v>
      </c>
      <c r="AX24" s="1">
        <f t="shared" si="28"/>
        <v>3.94150562445919</v>
      </c>
      <c r="AY24" s="1" t="s">
        <v>78</v>
      </c>
      <c r="AZ24" s="27">
        <f>15477.7*E24</f>
        <v>2166.878</v>
      </c>
      <c r="BA24" s="1">
        <f t="shared" si="30"/>
        <v>2.89589686979625</v>
      </c>
      <c r="BB24" s="1" t="s">
        <v>61</v>
      </c>
      <c r="BC24" s="1">
        <v>182</v>
      </c>
      <c r="BD24" s="1" t="s">
        <v>61</v>
      </c>
      <c r="BE24" s="1">
        <v>3110</v>
      </c>
      <c r="BF24" s="1">
        <v>1.109</v>
      </c>
      <c r="BG24" s="1" t="s">
        <v>78</v>
      </c>
      <c r="BH24" s="1">
        <f>100*E24</f>
        <v>14</v>
      </c>
      <c r="BI24" s="1" t="s">
        <v>78</v>
      </c>
      <c r="BJ24" s="1">
        <f>8291.1*E24</f>
        <v>1160.754</v>
      </c>
      <c r="BK24" s="1">
        <f t="shared" si="10"/>
        <v>0.0120611257854808</v>
      </c>
      <c r="BL24" s="1" t="s">
        <v>78</v>
      </c>
      <c r="BM24" s="1">
        <f>90*E24</f>
        <v>12.6</v>
      </c>
      <c r="BN24" s="1" t="s">
        <v>78</v>
      </c>
      <c r="BO24" s="1">
        <f>6374.4*E24</f>
        <v>892.416</v>
      </c>
      <c r="BP24" s="1">
        <f t="shared" si="11"/>
        <v>0.0141189759036145</v>
      </c>
      <c r="BQ24" s="1" t="s">
        <v>78</v>
      </c>
      <c r="BR24" s="1">
        <f>1098.8*E24</f>
        <v>153.832</v>
      </c>
      <c r="BS24" s="1" t="s">
        <v>78</v>
      </c>
      <c r="BT24" s="1">
        <f>7165.2*E24</f>
        <v>1003.128</v>
      </c>
      <c r="BU24" s="1">
        <f t="shared" si="12"/>
        <v>0.153352313961927</v>
      </c>
      <c r="BV24" s="1" t="s">
        <v>78</v>
      </c>
      <c r="BW24" s="1">
        <f>490.1*E24</f>
        <v>68.614</v>
      </c>
      <c r="BX24" s="1" t="s">
        <v>78</v>
      </c>
      <c r="BY24" s="1">
        <f>6476.8*E24</f>
        <v>906.752</v>
      </c>
      <c r="BZ24" s="1">
        <f t="shared" si="13"/>
        <v>0.0756700839920949</v>
      </c>
      <c r="CA24" s="1" t="s">
        <v>78</v>
      </c>
      <c r="CB24" s="1">
        <f>596.7*E24</f>
        <v>83.538</v>
      </c>
      <c r="CC24" s="1" t="s">
        <v>78</v>
      </c>
      <c r="CD24" s="1">
        <f>7426.7*E24</f>
        <v>1039.738</v>
      </c>
      <c r="CE24" s="1">
        <f t="shared" si="14"/>
        <v>0.0803452408202836</v>
      </c>
      <c r="CF24" s="1">
        <f t="shared" si="15"/>
        <v>0.0120611257854808</v>
      </c>
      <c r="CG24" s="1">
        <f t="shared" si="16"/>
        <v>18.530803650101</v>
      </c>
      <c r="CH24" s="32">
        <v>0.0834</v>
      </c>
      <c r="CI24" s="1">
        <f t="shared" si="17"/>
        <v>248.615232414345</v>
      </c>
    </row>
    <row r="25" s="1" customFormat="1" spans="1:87">
      <c r="A25" s="1">
        <v>23</v>
      </c>
      <c r="B25" s="1" t="s">
        <v>102</v>
      </c>
      <c r="C25" s="1" t="s">
        <v>102</v>
      </c>
      <c r="D25" s="1" t="s">
        <v>103</v>
      </c>
      <c r="E25" s="10">
        <v>0.693</v>
      </c>
      <c r="F25" s="10">
        <v>0.012</v>
      </c>
      <c r="G25" s="1"/>
      <c r="H25" s="9"/>
      <c r="I25" s="13" t="s">
        <v>61</v>
      </c>
      <c r="J25" s="14">
        <v>88924</v>
      </c>
      <c r="K25" s="1" t="s">
        <v>78</v>
      </c>
      <c r="L25" s="1">
        <v>12094</v>
      </c>
      <c r="M25" s="1" t="s">
        <v>78</v>
      </c>
      <c r="N25" s="1">
        <f t="shared" ref="N25:N30" si="67">AL25*85.6%</f>
        <v>16875.184</v>
      </c>
      <c r="O25" s="1">
        <f>(N25-L25)/N25</f>
        <v>0.283326332915837</v>
      </c>
      <c r="P25" s="1" t="s">
        <v>78</v>
      </c>
      <c r="Q25" s="1">
        <f t="shared" ref="Q25:Q30" si="68">33*E25</f>
        <v>22.869</v>
      </c>
      <c r="R25" s="1" t="s">
        <v>78</v>
      </c>
      <c r="S25" s="1">
        <f t="shared" ref="S25:S30" si="69">-84*E25</f>
        <v>-58.212</v>
      </c>
      <c r="T25" s="1">
        <f t="shared" si="6"/>
        <v>-3.54545454545454</v>
      </c>
      <c r="U25" s="1">
        <f t="shared" si="7"/>
        <v>-0.315532053134677</v>
      </c>
      <c r="V25" s="1" t="s">
        <v>78</v>
      </c>
      <c r="W25" s="1">
        <f t="shared" ref="W25:W30" si="70">11076*E25</f>
        <v>7675.668</v>
      </c>
      <c r="X25" s="1" t="s">
        <v>78</v>
      </c>
      <c r="Y25" s="1">
        <f t="shared" ref="Y25:Y30" si="71">11329*E25</f>
        <v>7850.997</v>
      </c>
      <c r="Z25" s="1" t="s">
        <v>78</v>
      </c>
      <c r="AA25" s="1">
        <f t="shared" ref="AA25:AA30" si="72">12479*E25</f>
        <v>8647.947</v>
      </c>
      <c r="AB25" s="1" t="s">
        <v>78</v>
      </c>
      <c r="AC25" s="1">
        <f t="shared" ref="AC25:AC30" si="73">9013*E25</f>
        <v>6246.009</v>
      </c>
      <c r="AD25" s="1" t="s">
        <v>78</v>
      </c>
      <c r="AE25" s="1">
        <f t="shared" ref="AE25:AE30" si="74">11902*E25</f>
        <v>8248.086</v>
      </c>
      <c r="AF25" s="1" t="s">
        <v>78</v>
      </c>
      <c r="AG25" s="1">
        <f t="shared" si="1"/>
        <v>7733.7414</v>
      </c>
      <c r="AH25" s="1">
        <f t="shared" ref="AH25:AH30" si="75">AG25*1.0911</f>
        <v>8438.28524154</v>
      </c>
      <c r="AI25" s="1">
        <f t="shared" si="2"/>
        <v>816.185191748687</v>
      </c>
      <c r="AJ25" s="1">
        <f t="shared" si="8"/>
        <v>0.903275941925882</v>
      </c>
      <c r="AK25" s="1" t="s">
        <v>61</v>
      </c>
      <c r="AL25" s="1">
        <v>19714</v>
      </c>
      <c r="AM25" s="1" t="s">
        <v>78</v>
      </c>
      <c r="AN25" s="1">
        <f t="shared" ref="AN25:AN30" si="76">11902*E25</f>
        <v>8248.086</v>
      </c>
      <c r="AO25" s="1">
        <f t="shared" si="9"/>
        <v>2.39013026779789</v>
      </c>
      <c r="AP25" s="1" t="s">
        <v>61</v>
      </c>
      <c r="AQ25" s="1">
        <f t="shared" ref="AQ25:AQ30" si="77">20402*E25</f>
        <v>14138.586</v>
      </c>
      <c r="AR25" s="1">
        <f t="shared" si="24"/>
        <v>2.26361921668701</v>
      </c>
      <c r="AS25" s="1" t="s">
        <v>61</v>
      </c>
      <c r="AT25" s="1">
        <f t="shared" ref="AT25:AT30" si="78">28286*E25</f>
        <v>19602.198</v>
      </c>
      <c r="AU25" s="1">
        <f t="shared" si="26"/>
        <v>2.26668803590031</v>
      </c>
      <c r="AV25" s="1" t="s">
        <v>61</v>
      </c>
      <c r="AW25" s="1">
        <f t="shared" ref="AW25:AW30" si="79">26145*E25</f>
        <v>18118.485</v>
      </c>
      <c r="AX25" s="1">
        <f t="shared" si="28"/>
        <v>2.30779415658928</v>
      </c>
      <c r="AY25" s="1" t="s">
        <v>61</v>
      </c>
      <c r="AZ25" s="1">
        <f t="shared" ref="AZ25:AZ30" si="80">25336*E25</f>
        <v>17557.848</v>
      </c>
      <c r="BA25" s="1">
        <f t="shared" si="30"/>
        <v>2.28746840014446</v>
      </c>
      <c r="BB25" s="1" t="s">
        <v>61</v>
      </c>
      <c r="BC25" s="1">
        <v>182</v>
      </c>
      <c r="BD25" s="1" t="s">
        <v>61</v>
      </c>
      <c r="BE25" s="1">
        <v>3110</v>
      </c>
      <c r="BF25" s="1">
        <v>1.109</v>
      </c>
      <c r="BG25" s="1" t="s">
        <v>78</v>
      </c>
      <c r="BH25" s="1">
        <f>AL25*0.3%</f>
        <v>59.142</v>
      </c>
      <c r="BI25" s="1" t="s">
        <v>78</v>
      </c>
      <c r="BJ25" s="1">
        <f t="shared" ref="BJ25:BJ30" si="81">8596*E25</f>
        <v>5957.028</v>
      </c>
      <c r="BK25" s="1">
        <f t="shared" si="10"/>
        <v>0.00992810508864488</v>
      </c>
      <c r="BL25" s="1" t="s">
        <v>78</v>
      </c>
      <c r="BM25" s="1">
        <f>AQ25*0.3%</f>
        <v>42.415758</v>
      </c>
      <c r="BN25" s="1" t="s">
        <v>78</v>
      </c>
      <c r="BO25" s="1">
        <f t="shared" ref="BO25:BO30" si="82">6807*E25</f>
        <v>4717.251</v>
      </c>
      <c r="BP25" s="1">
        <f t="shared" si="11"/>
        <v>0.00899162626707801</v>
      </c>
      <c r="BQ25" s="1" t="s">
        <v>78</v>
      </c>
      <c r="BR25" s="1">
        <f>AT25*0.5%</f>
        <v>98.01099</v>
      </c>
      <c r="BS25" s="1" t="s">
        <v>78</v>
      </c>
      <c r="BT25" s="1">
        <f t="shared" ref="BT25:BT30" si="83">8176*E25</f>
        <v>5665.968</v>
      </c>
      <c r="BU25" s="1">
        <f t="shared" si="12"/>
        <v>0.0172981898238748</v>
      </c>
      <c r="BV25" s="1" t="s">
        <v>78</v>
      </c>
      <c r="BW25" s="1">
        <f>AW25*0.2%</f>
        <v>36.23697</v>
      </c>
      <c r="BX25" s="1" t="s">
        <v>78</v>
      </c>
      <c r="BY25" s="1">
        <f t="shared" ref="BY25:BY30" si="84">9329*E25</f>
        <v>6464.997</v>
      </c>
      <c r="BZ25" s="1">
        <f t="shared" si="13"/>
        <v>0.00560510236895701</v>
      </c>
      <c r="CA25" s="1" t="s">
        <v>78</v>
      </c>
      <c r="CB25" s="1">
        <f>AZ25*0.25%</f>
        <v>43.89462</v>
      </c>
      <c r="CC25" s="1" t="s">
        <v>78</v>
      </c>
      <c r="CD25" s="1">
        <f t="shared" ref="CD25:CD30" si="85">8944*E25</f>
        <v>6198.192</v>
      </c>
      <c r="CE25" s="1">
        <f t="shared" si="14"/>
        <v>0.00708184257602862</v>
      </c>
      <c r="CF25" s="1">
        <f t="shared" si="15"/>
        <v>0.00992810508864488</v>
      </c>
      <c r="CG25" s="1">
        <f t="shared" si="16"/>
        <v>13.7772252193635</v>
      </c>
      <c r="CH25" s="32">
        <v>0.0834</v>
      </c>
      <c r="CI25" s="1">
        <f t="shared" ref="CI25:CI30" si="86">-U25*AJ25*CG25/CH25</f>
        <v>47.0825128907788</v>
      </c>
    </row>
    <row r="26" s="1" customFormat="1" spans="1:87">
      <c r="A26" s="1">
        <v>24</v>
      </c>
      <c r="B26" s="6" t="s">
        <v>104</v>
      </c>
      <c r="C26" s="6" t="s">
        <v>104</v>
      </c>
      <c r="D26" s="1" t="s">
        <v>103</v>
      </c>
      <c r="E26" s="10">
        <v>0.087</v>
      </c>
      <c r="F26" s="10">
        <v>0.001505108</v>
      </c>
      <c r="G26" s="1"/>
      <c r="H26" s="9"/>
      <c r="I26" s="13" t="s">
        <v>61</v>
      </c>
      <c r="J26" s="14">
        <v>88924</v>
      </c>
      <c r="K26" s="1" t="s">
        <v>78</v>
      </c>
      <c r="L26" s="1">
        <v>1516</v>
      </c>
      <c r="M26" s="1" t="s">
        <v>78</v>
      </c>
      <c r="N26" s="1">
        <f t="shared" si="67"/>
        <v>1864.368</v>
      </c>
      <c r="O26" s="1">
        <f t="shared" ref="O26:O56" si="87">(N26-L26)/L26</f>
        <v>0.22979419525066</v>
      </c>
      <c r="P26" s="1" t="s">
        <v>78</v>
      </c>
      <c r="Q26" s="1">
        <f t="shared" si="68"/>
        <v>2.871</v>
      </c>
      <c r="R26" s="1" t="s">
        <v>78</v>
      </c>
      <c r="S26" s="1">
        <f t="shared" si="69"/>
        <v>-7.308</v>
      </c>
      <c r="T26" s="1">
        <f t="shared" si="6"/>
        <v>-3.54545454545455</v>
      </c>
      <c r="U26" s="1">
        <f t="shared" si="7"/>
        <v>-0.328915087550971</v>
      </c>
      <c r="V26" s="1" t="s">
        <v>78</v>
      </c>
      <c r="W26" s="1">
        <f t="shared" si="70"/>
        <v>963.612</v>
      </c>
      <c r="X26" s="1" t="s">
        <v>78</v>
      </c>
      <c r="Y26" s="1">
        <f t="shared" si="71"/>
        <v>985.623</v>
      </c>
      <c r="Z26" s="1" t="s">
        <v>78</v>
      </c>
      <c r="AA26" s="1">
        <f t="shared" si="72"/>
        <v>1085.673</v>
      </c>
      <c r="AB26" s="1" t="s">
        <v>78</v>
      </c>
      <c r="AC26" s="1">
        <f t="shared" si="73"/>
        <v>784.131</v>
      </c>
      <c r="AD26" s="1" t="s">
        <v>78</v>
      </c>
      <c r="AE26" s="1">
        <f t="shared" si="74"/>
        <v>1035.474</v>
      </c>
      <c r="AF26" s="1" t="s">
        <v>78</v>
      </c>
      <c r="AG26" s="1">
        <f t="shared" si="1"/>
        <v>970.9026</v>
      </c>
      <c r="AH26" s="1">
        <f t="shared" si="75"/>
        <v>1059.35182686</v>
      </c>
      <c r="AI26" s="1">
        <f t="shared" si="2"/>
        <v>102.464807622129</v>
      </c>
      <c r="AJ26" s="1">
        <f t="shared" si="8"/>
        <v>0.903275941925882</v>
      </c>
      <c r="AK26" s="1" t="s">
        <v>61</v>
      </c>
      <c r="AL26" s="1">
        <v>2178</v>
      </c>
      <c r="AM26" s="1" t="s">
        <v>78</v>
      </c>
      <c r="AN26" s="1">
        <f t="shared" si="76"/>
        <v>1035.474</v>
      </c>
      <c r="AO26" s="1">
        <f>AL25/AN26</f>
        <v>19.0386238572866</v>
      </c>
      <c r="AP26" s="1" t="s">
        <v>61</v>
      </c>
      <c r="AQ26" s="1">
        <f t="shared" si="77"/>
        <v>1774.974</v>
      </c>
      <c r="AR26" s="1">
        <f t="shared" si="24"/>
        <v>2.26361921668701</v>
      </c>
      <c r="AS26" s="1" t="s">
        <v>61</v>
      </c>
      <c r="AT26" s="1">
        <f t="shared" si="78"/>
        <v>2460.882</v>
      </c>
      <c r="AU26" s="1">
        <f t="shared" si="26"/>
        <v>2.26668803590031</v>
      </c>
      <c r="AV26" s="1" t="s">
        <v>61</v>
      </c>
      <c r="AW26" s="1">
        <f t="shared" si="79"/>
        <v>2274.615</v>
      </c>
      <c r="AX26" s="1">
        <f t="shared" si="28"/>
        <v>2.30779415658928</v>
      </c>
      <c r="AY26" s="1" t="s">
        <v>61</v>
      </c>
      <c r="AZ26" s="1">
        <f t="shared" si="80"/>
        <v>2204.232</v>
      </c>
      <c r="BA26" s="1">
        <f t="shared" si="30"/>
        <v>2.28746840014446</v>
      </c>
      <c r="BB26" s="1" t="s">
        <v>61</v>
      </c>
      <c r="BC26" s="1">
        <v>182</v>
      </c>
      <c r="BD26" s="1" t="s">
        <v>61</v>
      </c>
      <c r="BE26" s="1">
        <v>3110</v>
      </c>
      <c r="BF26" s="1">
        <v>1.109</v>
      </c>
      <c r="BG26" s="1" t="s">
        <v>78</v>
      </c>
      <c r="BH26" s="1">
        <f>2514*E26</f>
        <v>218.718</v>
      </c>
      <c r="BI26" s="1" t="s">
        <v>78</v>
      </c>
      <c r="BJ26" s="1">
        <f t="shared" si="81"/>
        <v>747.852</v>
      </c>
      <c r="BK26" s="1">
        <f t="shared" si="10"/>
        <v>0.292461610051187</v>
      </c>
      <c r="BL26" s="1" t="s">
        <v>78</v>
      </c>
      <c r="BM26" s="1">
        <f>9013*E26*0.35</f>
        <v>274.44585</v>
      </c>
      <c r="BN26" s="1" t="s">
        <v>78</v>
      </c>
      <c r="BO26" s="1">
        <f t="shared" si="82"/>
        <v>592.209</v>
      </c>
      <c r="BP26" s="1">
        <f t="shared" si="11"/>
        <v>0.463427354194212</v>
      </c>
      <c r="BQ26" s="1" t="s">
        <v>78</v>
      </c>
      <c r="BR26" s="1">
        <f>12479*E26*0.3</f>
        <v>325.7019</v>
      </c>
      <c r="BS26" s="1" t="s">
        <v>78</v>
      </c>
      <c r="BT26" s="1">
        <f t="shared" si="83"/>
        <v>711.312</v>
      </c>
      <c r="BU26" s="1">
        <f t="shared" si="12"/>
        <v>0.457888943248532</v>
      </c>
      <c r="BV26" s="1" t="s">
        <v>78</v>
      </c>
      <c r="BW26" s="1">
        <f>11329*E26*0.33</f>
        <v>325.25559</v>
      </c>
      <c r="BX26" s="1" t="s">
        <v>78</v>
      </c>
      <c r="BY26" s="1">
        <f t="shared" si="84"/>
        <v>811.623</v>
      </c>
      <c r="BZ26" s="1">
        <f t="shared" si="13"/>
        <v>0.400747132597277</v>
      </c>
      <c r="CA26" s="1" t="s">
        <v>78</v>
      </c>
      <c r="CB26" s="1">
        <f>11076*E26*0.34</f>
        <v>327.62808</v>
      </c>
      <c r="CC26" s="1" t="s">
        <v>78</v>
      </c>
      <c r="CD26" s="1">
        <f t="shared" si="85"/>
        <v>778.128</v>
      </c>
      <c r="CE26" s="1">
        <f t="shared" si="14"/>
        <v>0.421046511627907</v>
      </c>
      <c r="CF26" s="1">
        <f t="shared" si="15"/>
        <v>0.292461610051187</v>
      </c>
      <c r="CG26" s="1">
        <f t="shared" si="16"/>
        <v>104.116233596729</v>
      </c>
      <c r="CH26" s="32">
        <v>0.0834</v>
      </c>
      <c r="CI26" s="1">
        <f t="shared" si="86"/>
        <v>370.899832397734</v>
      </c>
    </row>
    <row r="27" s="1" customFormat="1" spans="1:87">
      <c r="A27" s="1">
        <v>25</v>
      </c>
      <c r="B27" s="6" t="s">
        <v>105</v>
      </c>
      <c r="C27" s="6" t="s">
        <v>105</v>
      </c>
      <c r="D27" s="1" t="s">
        <v>103</v>
      </c>
      <c r="E27" s="10">
        <v>0.059</v>
      </c>
      <c r="F27" s="10">
        <v>0.001016684</v>
      </c>
      <c r="G27" s="1"/>
      <c r="H27" s="9"/>
      <c r="I27" s="13" t="s">
        <v>61</v>
      </c>
      <c r="J27" s="14">
        <v>88924</v>
      </c>
      <c r="K27" s="1" t="s">
        <v>78</v>
      </c>
      <c r="L27" s="1">
        <v>1087.976</v>
      </c>
      <c r="M27" s="1" t="s">
        <v>78</v>
      </c>
      <c r="N27" s="1">
        <f t="shared" si="67"/>
        <v>1414.968</v>
      </c>
      <c r="O27" s="1">
        <f t="shared" si="87"/>
        <v>0.300550747442958</v>
      </c>
      <c r="P27" s="1" t="s">
        <v>78</v>
      </c>
      <c r="Q27" s="1">
        <f t="shared" si="68"/>
        <v>1.947</v>
      </c>
      <c r="R27" s="1" t="s">
        <v>78</v>
      </c>
      <c r="S27" s="1">
        <f t="shared" si="69"/>
        <v>-4.956</v>
      </c>
      <c r="T27" s="1">
        <f t="shared" si="6"/>
        <v>-3.54545454545455</v>
      </c>
      <c r="U27" s="1">
        <f t="shared" si="7"/>
        <v>-0.311225949502897</v>
      </c>
      <c r="V27" s="1" t="s">
        <v>78</v>
      </c>
      <c r="W27" s="1">
        <f t="shared" si="70"/>
        <v>653.484</v>
      </c>
      <c r="X27" s="1" t="s">
        <v>78</v>
      </c>
      <c r="Y27" s="1">
        <f t="shared" si="71"/>
        <v>668.411</v>
      </c>
      <c r="Z27" s="1" t="s">
        <v>78</v>
      </c>
      <c r="AA27" s="1">
        <f t="shared" si="72"/>
        <v>736.261</v>
      </c>
      <c r="AB27" s="1" t="s">
        <v>78</v>
      </c>
      <c r="AC27" s="1">
        <f t="shared" si="73"/>
        <v>531.767</v>
      </c>
      <c r="AD27" s="1" t="s">
        <v>78</v>
      </c>
      <c r="AE27" s="1">
        <f t="shared" si="74"/>
        <v>702.218</v>
      </c>
      <c r="AF27" s="1" t="s">
        <v>78</v>
      </c>
      <c r="AG27" s="1">
        <f t="shared" si="1"/>
        <v>658.4282</v>
      </c>
      <c r="AH27" s="1">
        <f t="shared" si="75"/>
        <v>718.41100902</v>
      </c>
      <c r="AI27" s="1">
        <f t="shared" si="2"/>
        <v>69.4876281575361</v>
      </c>
      <c r="AJ27" s="1">
        <f t="shared" si="8"/>
        <v>0.903275941925882</v>
      </c>
      <c r="AK27" s="1" t="s">
        <v>61</v>
      </c>
      <c r="AL27" s="1">
        <v>1653</v>
      </c>
      <c r="AM27" s="1" t="s">
        <v>78</v>
      </c>
      <c r="AN27" s="1">
        <f t="shared" si="76"/>
        <v>702.218</v>
      </c>
      <c r="AO27" s="1">
        <f>AL26/AN27</f>
        <v>3.10160092734735</v>
      </c>
      <c r="AP27" s="1" t="s">
        <v>61</v>
      </c>
      <c r="AQ27" s="1">
        <f t="shared" si="77"/>
        <v>1203.718</v>
      </c>
      <c r="AR27" s="1">
        <f t="shared" si="24"/>
        <v>2.26361921668701</v>
      </c>
      <c r="AS27" s="1" t="s">
        <v>61</v>
      </c>
      <c r="AT27" s="1">
        <f t="shared" si="78"/>
        <v>1668.874</v>
      </c>
      <c r="AU27" s="1">
        <f t="shared" si="26"/>
        <v>2.26668803590031</v>
      </c>
      <c r="AV27" s="1" t="s">
        <v>61</v>
      </c>
      <c r="AW27" s="1">
        <f t="shared" si="79"/>
        <v>1542.555</v>
      </c>
      <c r="AX27" s="1">
        <f t="shared" si="28"/>
        <v>2.30779415658928</v>
      </c>
      <c r="AY27" s="1" t="s">
        <v>61</v>
      </c>
      <c r="AZ27" s="1">
        <f t="shared" si="80"/>
        <v>1494.824</v>
      </c>
      <c r="BA27" s="1">
        <f t="shared" si="30"/>
        <v>2.28746840014446</v>
      </c>
      <c r="BB27" s="1" t="s">
        <v>61</v>
      </c>
      <c r="BC27" s="1">
        <v>182</v>
      </c>
      <c r="BD27" s="1" t="s">
        <v>61</v>
      </c>
      <c r="BE27" s="1">
        <v>3110</v>
      </c>
      <c r="BF27" s="1">
        <v>1.109</v>
      </c>
      <c r="BG27" s="1" t="s">
        <v>78</v>
      </c>
      <c r="BH27" s="1">
        <f>2514*E27</f>
        <v>148.326</v>
      </c>
      <c r="BI27" s="1" t="s">
        <v>78</v>
      </c>
      <c r="BJ27" s="1">
        <f t="shared" si="81"/>
        <v>507.164</v>
      </c>
      <c r="BK27" s="1">
        <f t="shared" si="10"/>
        <v>0.292461610051187</v>
      </c>
      <c r="BL27" s="1" t="s">
        <v>78</v>
      </c>
      <c r="BM27" s="1">
        <f>9013*E27*0.35</f>
        <v>186.11845</v>
      </c>
      <c r="BN27" s="1" t="s">
        <v>78</v>
      </c>
      <c r="BO27" s="1">
        <f t="shared" si="82"/>
        <v>401.613</v>
      </c>
      <c r="BP27" s="1">
        <f t="shared" si="11"/>
        <v>0.463427354194212</v>
      </c>
      <c r="BQ27" s="1" t="s">
        <v>78</v>
      </c>
      <c r="BR27" s="1">
        <f>12479*E27*0.3</f>
        <v>220.8783</v>
      </c>
      <c r="BS27" s="1" t="s">
        <v>78</v>
      </c>
      <c r="BT27" s="1">
        <f t="shared" si="83"/>
        <v>482.384</v>
      </c>
      <c r="BU27" s="1">
        <f t="shared" si="12"/>
        <v>0.457888943248532</v>
      </c>
      <c r="BV27" s="1" t="s">
        <v>78</v>
      </c>
      <c r="BW27" s="1">
        <f>11329*E27*0.33</f>
        <v>220.57563</v>
      </c>
      <c r="BX27" s="1" t="s">
        <v>78</v>
      </c>
      <c r="BY27" s="1">
        <f t="shared" si="84"/>
        <v>550.411</v>
      </c>
      <c r="BZ27" s="1">
        <f t="shared" si="13"/>
        <v>0.400747132597277</v>
      </c>
      <c r="CA27" s="1" t="s">
        <v>78</v>
      </c>
      <c r="CB27" s="1">
        <f>11076*E27*0.34</f>
        <v>222.18456</v>
      </c>
      <c r="CC27" s="1" t="s">
        <v>78</v>
      </c>
      <c r="CD27" s="1">
        <f t="shared" si="85"/>
        <v>527.696</v>
      </c>
      <c r="CE27" s="1">
        <f t="shared" si="14"/>
        <v>0.421046511627907</v>
      </c>
      <c r="CF27" s="1">
        <f t="shared" si="15"/>
        <v>0.292461610051187</v>
      </c>
      <c r="CG27" s="1">
        <f t="shared" si="16"/>
        <v>70.1123805954619</v>
      </c>
      <c r="CH27" s="32">
        <v>0.0834</v>
      </c>
      <c r="CI27" s="1">
        <f t="shared" si="86"/>
        <v>236.333293148158</v>
      </c>
    </row>
    <row r="28" s="1" customFormat="1" spans="1:87">
      <c r="A28" s="1">
        <v>26</v>
      </c>
      <c r="B28" s="6" t="s">
        <v>106</v>
      </c>
      <c r="C28" s="6" t="s">
        <v>106</v>
      </c>
      <c r="D28" s="1" t="s">
        <v>103</v>
      </c>
      <c r="E28" s="10">
        <v>0.026</v>
      </c>
      <c r="F28" s="10">
        <v>0.000443392</v>
      </c>
      <c r="G28" s="1"/>
      <c r="H28" s="9"/>
      <c r="I28" s="13" t="s">
        <v>61</v>
      </c>
      <c r="J28" s="14">
        <v>88924</v>
      </c>
      <c r="K28" s="1" t="s">
        <v>78</v>
      </c>
      <c r="L28" s="1">
        <v>472.512</v>
      </c>
      <c r="M28" s="1" t="s">
        <v>78</v>
      </c>
      <c r="N28" s="1">
        <f t="shared" si="67"/>
        <v>513.6</v>
      </c>
      <c r="O28" s="1">
        <f t="shared" si="87"/>
        <v>0.0869565217391305</v>
      </c>
      <c r="P28" s="1" t="s">
        <v>78</v>
      </c>
      <c r="Q28" s="1">
        <f t="shared" si="68"/>
        <v>0.858</v>
      </c>
      <c r="R28" s="1" t="s">
        <v>78</v>
      </c>
      <c r="S28" s="1">
        <f t="shared" si="69"/>
        <v>-2.184</v>
      </c>
      <c r="T28" s="1">
        <f t="shared" si="6"/>
        <v>-3.54545454545455</v>
      </c>
      <c r="U28" s="1">
        <f t="shared" si="7"/>
        <v>-0.364624505928854</v>
      </c>
      <c r="V28" s="1" t="s">
        <v>78</v>
      </c>
      <c r="W28" s="1">
        <f t="shared" si="70"/>
        <v>287.976</v>
      </c>
      <c r="X28" s="1" t="s">
        <v>78</v>
      </c>
      <c r="Y28" s="1">
        <f t="shared" si="71"/>
        <v>294.554</v>
      </c>
      <c r="Z28" s="1" t="s">
        <v>78</v>
      </c>
      <c r="AA28" s="1">
        <f t="shared" si="72"/>
        <v>324.454</v>
      </c>
      <c r="AB28" s="1" t="s">
        <v>78</v>
      </c>
      <c r="AC28" s="1">
        <f t="shared" si="73"/>
        <v>234.338</v>
      </c>
      <c r="AD28" s="1" t="s">
        <v>78</v>
      </c>
      <c r="AE28" s="1">
        <f t="shared" si="74"/>
        <v>309.452</v>
      </c>
      <c r="AF28" s="1" t="s">
        <v>78</v>
      </c>
      <c r="AG28" s="1">
        <f t="shared" si="1"/>
        <v>290.1548</v>
      </c>
      <c r="AH28" s="1">
        <f t="shared" si="75"/>
        <v>316.58790228</v>
      </c>
      <c r="AI28" s="1">
        <f t="shared" si="2"/>
        <v>30.6216666456939</v>
      </c>
      <c r="AJ28" s="1">
        <f t="shared" si="8"/>
        <v>0.903275941925882</v>
      </c>
      <c r="AK28" s="1" t="s">
        <v>61</v>
      </c>
      <c r="AL28" s="1">
        <v>600</v>
      </c>
      <c r="AM28" s="1" t="s">
        <v>78</v>
      </c>
      <c r="AN28" s="1">
        <f t="shared" si="76"/>
        <v>309.452</v>
      </c>
      <c r="AO28" s="1">
        <f>AL27/AN28</f>
        <v>5.34170081305017</v>
      </c>
      <c r="AP28" s="1" t="s">
        <v>61</v>
      </c>
      <c r="AQ28" s="1">
        <f t="shared" si="77"/>
        <v>530.452</v>
      </c>
      <c r="AR28" s="1">
        <f t="shared" si="24"/>
        <v>2.26361921668701</v>
      </c>
      <c r="AS28" s="1" t="s">
        <v>61</v>
      </c>
      <c r="AT28" s="1">
        <f t="shared" si="78"/>
        <v>735.436</v>
      </c>
      <c r="AU28" s="1">
        <f t="shared" si="26"/>
        <v>2.26668803590031</v>
      </c>
      <c r="AV28" s="1" t="s">
        <v>61</v>
      </c>
      <c r="AW28" s="1">
        <f t="shared" si="79"/>
        <v>679.77</v>
      </c>
      <c r="AX28" s="1">
        <f t="shared" si="28"/>
        <v>2.30779415658928</v>
      </c>
      <c r="AY28" s="1" t="s">
        <v>61</v>
      </c>
      <c r="AZ28" s="1">
        <f t="shared" si="80"/>
        <v>658.736</v>
      </c>
      <c r="BA28" s="1">
        <f t="shared" si="30"/>
        <v>2.28746840014446</v>
      </c>
      <c r="BB28" s="1" t="s">
        <v>61</v>
      </c>
      <c r="BC28" s="1">
        <v>182</v>
      </c>
      <c r="BD28" s="1" t="s">
        <v>61</v>
      </c>
      <c r="BE28" s="1">
        <v>3110</v>
      </c>
      <c r="BF28" s="1">
        <v>1.109</v>
      </c>
      <c r="BG28" s="1" t="s">
        <v>78</v>
      </c>
      <c r="BH28" s="1">
        <f>2514*E28</f>
        <v>65.364</v>
      </c>
      <c r="BI28" s="1" t="s">
        <v>78</v>
      </c>
      <c r="BJ28" s="1">
        <f t="shared" si="81"/>
        <v>223.496</v>
      </c>
      <c r="BK28" s="1">
        <f t="shared" si="10"/>
        <v>0.292461610051187</v>
      </c>
      <c r="BL28" s="1" t="s">
        <v>78</v>
      </c>
      <c r="BM28" s="1">
        <f>9013*E28*0.35</f>
        <v>82.0183</v>
      </c>
      <c r="BN28" s="1" t="s">
        <v>78</v>
      </c>
      <c r="BO28" s="1">
        <f t="shared" si="82"/>
        <v>176.982</v>
      </c>
      <c r="BP28" s="1">
        <f t="shared" si="11"/>
        <v>0.463427354194212</v>
      </c>
      <c r="BQ28" s="1" t="s">
        <v>78</v>
      </c>
      <c r="BR28" s="1">
        <f>12479*E28*0.3</f>
        <v>97.3362</v>
      </c>
      <c r="BS28" s="1" t="s">
        <v>78</v>
      </c>
      <c r="BT28" s="1">
        <f t="shared" si="83"/>
        <v>212.576</v>
      </c>
      <c r="BU28" s="1">
        <f t="shared" si="12"/>
        <v>0.457888943248532</v>
      </c>
      <c r="BV28" s="1" t="s">
        <v>78</v>
      </c>
      <c r="BW28" s="1">
        <f>11329*E28*0.33</f>
        <v>97.20282</v>
      </c>
      <c r="BX28" s="1" t="s">
        <v>78</v>
      </c>
      <c r="BY28" s="1">
        <f t="shared" si="84"/>
        <v>242.554</v>
      </c>
      <c r="BZ28" s="1">
        <f t="shared" si="13"/>
        <v>0.400747132597277</v>
      </c>
      <c r="CA28" s="1" t="s">
        <v>78</v>
      </c>
      <c r="CB28" s="1">
        <f>11076*E28*0.34</f>
        <v>97.91184</v>
      </c>
      <c r="CC28" s="1" t="s">
        <v>78</v>
      </c>
      <c r="CD28" s="1">
        <f t="shared" si="85"/>
        <v>232.544</v>
      </c>
      <c r="CE28" s="1">
        <f t="shared" si="14"/>
        <v>0.421046511627907</v>
      </c>
      <c r="CF28" s="1">
        <f t="shared" si="15"/>
        <v>0.292461610051187</v>
      </c>
      <c r="CG28" s="1">
        <f t="shared" si="16"/>
        <v>31.266096228689</v>
      </c>
      <c r="CH28" s="32">
        <v>0.0834</v>
      </c>
      <c r="CI28" s="1">
        <f t="shared" si="86"/>
        <v>123.473541961273</v>
      </c>
    </row>
    <row r="29" s="1" customFormat="1" spans="1:87">
      <c r="A29" s="1">
        <v>27</v>
      </c>
      <c r="B29" s="6" t="s">
        <v>107</v>
      </c>
      <c r="C29" s="6" t="s">
        <v>107</v>
      </c>
      <c r="D29" s="1" t="s">
        <v>103</v>
      </c>
      <c r="E29" s="11">
        <v>0.07</v>
      </c>
      <c r="F29" s="11">
        <v>0.001208936</v>
      </c>
      <c r="G29" s="1"/>
      <c r="H29" s="9"/>
      <c r="I29" s="13" t="s">
        <v>61</v>
      </c>
      <c r="J29" s="14">
        <v>88924</v>
      </c>
      <c r="K29" s="1" t="s">
        <v>78</v>
      </c>
      <c r="L29" s="1">
        <v>1219.8</v>
      </c>
      <c r="M29" s="1" t="s">
        <v>78</v>
      </c>
      <c r="N29" s="1">
        <f t="shared" si="67"/>
        <v>1598.152</v>
      </c>
      <c r="O29" s="1">
        <f t="shared" si="87"/>
        <v>0.310175438596491</v>
      </c>
      <c r="P29" s="1" t="s">
        <v>78</v>
      </c>
      <c r="Q29" s="1">
        <f t="shared" si="68"/>
        <v>2.31</v>
      </c>
      <c r="R29" s="1" t="s">
        <v>78</v>
      </c>
      <c r="S29" s="1">
        <f t="shared" si="69"/>
        <v>-5.88</v>
      </c>
      <c r="T29" s="1">
        <f t="shared" si="6"/>
        <v>-3.54545454545455</v>
      </c>
      <c r="U29" s="1">
        <f t="shared" si="7"/>
        <v>-0.308819776714514</v>
      </c>
      <c r="V29" s="1" t="s">
        <v>78</v>
      </c>
      <c r="W29" s="1">
        <f t="shared" si="70"/>
        <v>775.32</v>
      </c>
      <c r="X29" s="1" t="s">
        <v>78</v>
      </c>
      <c r="Y29" s="1">
        <f t="shared" si="71"/>
        <v>793.03</v>
      </c>
      <c r="Z29" s="1" t="s">
        <v>78</v>
      </c>
      <c r="AA29" s="1">
        <f t="shared" si="72"/>
        <v>873.53</v>
      </c>
      <c r="AB29" s="1" t="s">
        <v>78</v>
      </c>
      <c r="AC29" s="1">
        <f t="shared" si="73"/>
        <v>630.91</v>
      </c>
      <c r="AD29" s="1" t="s">
        <v>78</v>
      </c>
      <c r="AE29" s="1">
        <f t="shared" si="74"/>
        <v>833.14</v>
      </c>
      <c r="AF29" s="1" t="s">
        <v>78</v>
      </c>
      <c r="AG29" s="1">
        <f t="shared" si="1"/>
        <v>781.186</v>
      </c>
      <c r="AH29" s="1">
        <f t="shared" si="75"/>
        <v>852.3520446</v>
      </c>
      <c r="AI29" s="1">
        <f t="shared" si="2"/>
        <v>82.4429486614835</v>
      </c>
      <c r="AJ29" s="1">
        <f t="shared" si="8"/>
        <v>0.903275941925882</v>
      </c>
      <c r="AK29" s="1" t="s">
        <v>61</v>
      </c>
      <c r="AL29" s="1">
        <v>1867</v>
      </c>
      <c r="AM29" s="1" t="s">
        <v>78</v>
      </c>
      <c r="AN29" s="1">
        <f t="shared" si="76"/>
        <v>833.14</v>
      </c>
      <c r="AO29" s="1">
        <f>AL28/AN29</f>
        <v>0.720167078762273</v>
      </c>
      <c r="AP29" s="1" t="s">
        <v>61</v>
      </c>
      <c r="AQ29" s="1">
        <f t="shared" si="77"/>
        <v>1428.14</v>
      </c>
      <c r="AR29" s="1">
        <f t="shared" si="24"/>
        <v>2.26361921668701</v>
      </c>
      <c r="AS29" s="1" t="s">
        <v>61</v>
      </c>
      <c r="AT29" s="1">
        <f t="shared" si="78"/>
        <v>1980.02</v>
      </c>
      <c r="AU29" s="1">
        <f t="shared" si="26"/>
        <v>2.26668803590031</v>
      </c>
      <c r="AV29" s="1" t="s">
        <v>61</v>
      </c>
      <c r="AW29" s="1">
        <f t="shared" si="79"/>
        <v>1830.15</v>
      </c>
      <c r="AX29" s="1">
        <f t="shared" si="28"/>
        <v>2.30779415658928</v>
      </c>
      <c r="AY29" s="1" t="s">
        <v>61</v>
      </c>
      <c r="AZ29" s="1">
        <f t="shared" si="80"/>
        <v>1773.52</v>
      </c>
      <c r="BA29" s="1">
        <f t="shared" si="30"/>
        <v>2.28746840014446</v>
      </c>
      <c r="BB29" s="1" t="s">
        <v>61</v>
      </c>
      <c r="BC29" s="1">
        <v>182</v>
      </c>
      <c r="BD29" s="1" t="s">
        <v>61</v>
      </c>
      <c r="BE29" s="1">
        <v>3110</v>
      </c>
      <c r="BF29" s="1">
        <v>1.109</v>
      </c>
      <c r="BG29" s="1" t="s">
        <v>78</v>
      </c>
      <c r="BH29" s="1">
        <f>2514*E29</f>
        <v>175.98</v>
      </c>
      <c r="BI29" s="1" t="s">
        <v>78</v>
      </c>
      <c r="BJ29" s="1">
        <f t="shared" si="81"/>
        <v>601.72</v>
      </c>
      <c r="BK29" s="1">
        <f t="shared" si="10"/>
        <v>0.292461610051187</v>
      </c>
      <c r="BL29" s="1" t="s">
        <v>78</v>
      </c>
      <c r="BM29" s="1">
        <f>9013*E29*0.35</f>
        <v>220.8185</v>
      </c>
      <c r="BN29" s="1" t="s">
        <v>78</v>
      </c>
      <c r="BO29" s="1">
        <f t="shared" si="82"/>
        <v>476.49</v>
      </c>
      <c r="BP29" s="1">
        <f t="shared" si="11"/>
        <v>0.463427354194212</v>
      </c>
      <c r="BQ29" s="1" t="s">
        <v>78</v>
      </c>
      <c r="BR29" s="1">
        <f>12479*E29*0.3</f>
        <v>262.059</v>
      </c>
      <c r="BS29" s="1" t="s">
        <v>78</v>
      </c>
      <c r="BT29" s="1">
        <f t="shared" si="83"/>
        <v>572.32</v>
      </c>
      <c r="BU29" s="1">
        <f t="shared" si="12"/>
        <v>0.457888943248532</v>
      </c>
      <c r="BV29" s="1" t="s">
        <v>78</v>
      </c>
      <c r="BW29" s="1">
        <f>11329*E29*0.33</f>
        <v>261.6999</v>
      </c>
      <c r="BX29" s="1" t="s">
        <v>78</v>
      </c>
      <c r="BY29" s="1">
        <f t="shared" si="84"/>
        <v>653.03</v>
      </c>
      <c r="BZ29" s="1">
        <f t="shared" si="13"/>
        <v>0.400747132597277</v>
      </c>
      <c r="CA29" s="1" t="s">
        <v>78</v>
      </c>
      <c r="CB29" s="1">
        <f>11076*E29*0.34</f>
        <v>263.6088</v>
      </c>
      <c r="CC29" s="1" t="s">
        <v>78</v>
      </c>
      <c r="CD29" s="1">
        <f t="shared" si="85"/>
        <v>626.08</v>
      </c>
      <c r="CE29" s="1">
        <f t="shared" si="14"/>
        <v>0.421046511627907</v>
      </c>
      <c r="CF29" s="1">
        <f t="shared" si="15"/>
        <v>0.292461610051187</v>
      </c>
      <c r="CG29" s="1">
        <f t="shared" si="16"/>
        <v>82.965522670152</v>
      </c>
      <c r="CH29" s="32">
        <v>0.0834</v>
      </c>
      <c r="CI29" s="1">
        <f t="shared" si="86"/>
        <v>277.496270585285</v>
      </c>
    </row>
    <row r="30" s="1" customFormat="1" spans="1:87">
      <c r="A30" s="1">
        <v>28</v>
      </c>
      <c r="B30" s="6" t="s">
        <v>108</v>
      </c>
      <c r="C30" s="6" t="s">
        <v>108</v>
      </c>
      <c r="D30" s="1" t="s">
        <v>103</v>
      </c>
      <c r="E30" s="10">
        <v>0.063</v>
      </c>
      <c r="F30" s="10">
        <v>0.001089428</v>
      </c>
      <c r="G30" s="1"/>
      <c r="H30" s="9"/>
      <c r="I30" s="13" t="s">
        <v>61</v>
      </c>
      <c r="J30" s="14">
        <v>88924</v>
      </c>
      <c r="K30" s="1" t="s">
        <v>78</v>
      </c>
      <c r="L30" s="1">
        <v>1098.248</v>
      </c>
      <c r="M30" s="1" t="s">
        <v>78</v>
      </c>
      <c r="N30" s="1">
        <f t="shared" si="67"/>
        <v>1561.344</v>
      </c>
      <c r="O30" s="1">
        <f t="shared" si="87"/>
        <v>0.421667965705378</v>
      </c>
      <c r="P30" s="1" t="s">
        <v>78</v>
      </c>
      <c r="Q30" s="1">
        <f t="shared" si="68"/>
        <v>2.079</v>
      </c>
      <c r="R30" s="1" t="s">
        <v>78</v>
      </c>
      <c r="S30" s="1">
        <f t="shared" si="69"/>
        <v>-5.292</v>
      </c>
      <c r="T30" s="1">
        <f t="shared" si="6"/>
        <v>-3.54545454545455</v>
      </c>
      <c r="U30" s="1">
        <f t="shared" si="7"/>
        <v>-0.280946644937292</v>
      </c>
      <c r="V30" s="1" t="s">
        <v>78</v>
      </c>
      <c r="W30" s="1">
        <f t="shared" si="70"/>
        <v>697.788</v>
      </c>
      <c r="X30" s="1" t="s">
        <v>78</v>
      </c>
      <c r="Y30" s="1">
        <f t="shared" si="71"/>
        <v>713.727</v>
      </c>
      <c r="Z30" s="1" t="s">
        <v>78</v>
      </c>
      <c r="AA30" s="1">
        <f t="shared" si="72"/>
        <v>786.177</v>
      </c>
      <c r="AB30" s="1" t="s">
        <v>78</v>
      </c>
      <c r="AC30" s="1">
        <f t="shared" si="73"/>
        <v>567.819</v>
      </c>
      <c r="AD30" s="1" t="s">
        <v>78</v>
      </c>
      <c r="AE30" s="1">
        <f t="shared" si="74"/>
        <v>749.826</v>
      </c>
      <c r="AF30" s="1" t="s">
        <v>78</v>
      </c>
      <c r="AG30" s="1">
        <f t="shared" si="1"/>
        <v>703.0674</v>
      </c>
      <c r="AH30" s="1">
        <f t="shared" si="75"/>
        <v>767.11684014</v>
      </c>
      <c r="AI30" s="1">
        <f t="shared" si="2"/>
        <v>74.1986537953351</v>
      </c>
      <c r="AJ30" s="1">
        <f t="shared" si="8"/>
        <v>0.903275941925882</v>
      </c>
      <c r="AK30" s="1" t="s">
        <v>61</v>
      </c>
      <c r="AL30" s="1">
        <v>1824</v>
      </c>
      <c r="AM30" s="1" t="s">
        <v>78</v>
      </c>
      <c r="AN30" s="1">
        <f t="shared" si="76"/>
        <v>749.826</v>
      </c>
      <c r="AO30" s="1">
        <f>AL29/AN30</f>
        <v>2.48991099268364</v>
      </c>
      <c r="AP30" s="1" t="s">
        <v>61</v>
      </c>
      <c r="AQ30" s="1">
        <f t="shared" si="77"/>
        <v>1285.326</v>
      </c>
      <c r="AR30" s="1">
        <f t="shared" si="24"/>
        <v>2.26361921668701</v>
      </c>
      <c r="AS30" s="1" t="s">
        <v>61</v>
      </c>
      <c r="AT30" s="1">
        <f t="shared" si="78"/>
        <v>1782.018</v>
      </c>
      <c r="AU30" s="1">
        <f t="shared" si="26"/>
        <v>2.26668803590031</v>
      </c>
      <c r="AV30" s="1" t="s">
        <v>61</v>
      </c>
      <c r="AW30" s="1">
        <f t="shared" si="79"/>
        <v>1647.135</v>
      </c>
      <c r="AX30" s="1">
        <f t="shared" si="28"/>
        <v>2.30779415658928</v>
      </c>
      <c r="AY30" s="1" t="s">
        <v>61</v>
      </c>
      <c r="AZ30" s="1">
        <f t="shared" si="80"/>
        <v>1596.168</v>
      </c>
      <c r="BA30" s="1">
        <f t="shared" si="30"/>
        <v>2.28746840014446</v>
      </c>
      <c r="BB30" s="1" t="s">
        <v>61</v>
      </c>
      <c r="BC30" s="1">
        <v>182</v>
      </c>
      <c r="BD30" s="1" t="s">
        <v>61</v>
      </c>
      <c r="BE30" s="1">
        <v>3110</v>
      </c>
      <c r="BF30" s="1">
        <v>1.109</v>
      </c>
      <c r="BG30" s="1" t="s">
        <v>78</v>
      </c>
      <c r="BH30" s="1">
        <f>2514*E30</f>
        <v>158.382</v>
      </c>
      <c r="BI30" s="1" t="s">
        <v>78</v>
      </c>
      <c r="BJ30" s="1">
        <f t="shared" si="81"/>
        <v>541.548</v>
      </c>
      <c r="BK30" s="1">
        <f t="shared" si="10"/>
        <v>0.292461610051187</v>
      </c>
      <c r="BL30" s="1" t="s">
        <v>78</v>
      </c>
      <c r="BM30" s="1">
        <f>9013*E30*0.35</f>
        <v>198.73665</v>
      </c>
      <c r="BN30" s="1" t="s">
        <v>78</v>
      </c>
      <c r="BO30" s="1">
        <f t="shared" si="82"/>
        <v>428.841</v>
      </c>
      <c r="BP30" s="1">
        <f t="shared" si="11"/>
        <v>0.463427354194212</v>
      </c>
      <c r="BQ30" s="1" t="s">
        <v>78</v>
      </c>
      <c r="BR30" s="1">
        <f>12479*E30*0.3</f>
        <v>235.8531</v>
      </c>
      <c r="BS30" s="1" t="s">
        <v>78</v>
      </c>
      <c r="BT30" s="1">
        <f t="shared" si="83"/>
        <v>515.088</v>
      </c>
      <c r="BU30" s="1">
        <f t="shared" si="12"/>
        <v>0.457888943248532</v>
      </c>
      <c r="BV30" s="1" t="s">
        <v>78</v>
      </c>
      <c r="BW30" s="1">
        <f>11329*E30*0.33</f>
        <v>235.52991</v>
      </c>
      <c r="BX30" s="1" t="s">
        <v>78</v>
      </c>
      <c r="BY30" s="1">
        <f t="shared" si="84"/>
        <v>587.727</v>
      </c>
      <c r="BZ30" s="1">
        <f t="shared" si="13"/>
        <v>0.400747132597277</v>
      </c>
      <c r="CA30" s="1" t="s">
        <v>78</v>
      </c>
      <c r="CB30" s="1">
        <f>11076*E30*0.34</f>
        <v>237.24792</v>
      </c>
      <c r="CC30" s="1" t="s">
        <v>78</v>
      </c>
      <c r="CD30" s="1">
        <f t="shared" si="85"/>
        <v>563.472</v>
      </c>
      <c r="CE30" s="1">
        <f t="shared" si="14"/>
        <v>0.421046511627907</v>
      </c>
      <c r="CF30" s="1">
        <f t="shared" si="15"/>
        <v>0.292461610051187</v>
      </c>
      <c r="CG30" s="1">
        <f t="shared" si="16"/>
        <v>74.8011242199996</v>
      </c>
      <c r="CH30" s="32">
        <v>0.0834</v>
      </c>
      <c r="CI30" s="1">
        <f t="shared" si="86"/>
        <v>227.60739480968</v>
      </c>
    </row>
    <row r="31" s="1" customFormat="1" spans="1:87">
      <c r="A31" s="1">
        <v>29</v>
      </c>
      <c r="B31" s="1" t="s">
        <v>109</v>
      </c>
      <c r="C31" s="1" t="s">
        <v>110</v>
      </c>
      <c r="D31" s="1" t="s">
        <v>111</v>
      </c>
      <c r="E31" s="11">
        <v>0.72</v>
      </c>
      <c r="F31" s="11">
        <v>0.041256</v>
      </c>
      <c r="G31" s="1"/>
      <c r="H31" s="9"/>
      <c r="I31" s="13" t="s">
        <v>61</v>
      </c>
      <c r="J31" s="14">
        <v>88924</v>
      </c>
      <c r="K31" s="13" t="s">
        <v>61</v>
      </c>
      <c r="L31" s="1">
        <v>1331</v>
      </c>
      <c r="M31" s="1" t="s">
        <v>61</v>
      </c>
      <c r="N31" s="1">
        <v>1055</v>
      </c>
      <c r="O31" s="1">
        <f t="shared" si="87"/>
        <v>-0.207362885048835</v>
      </c>
      <c r="P31" s="1" t="s">
        <v>61</v>
      </c>
      <c r="Q31" s="1">
        <f>6*E31</f>
        <v>4.32</v>
      </c>
      <c r="R31" s="1" t="s">
        <v>61</v>
      </c>
      <c r="S31" s="1">
        <f>62*E31</f>
        <v>44.64</v>
      </c>
      <c r="T31" s="1">
        <f t="shared" si="6"/>
        <v>9.33333333333333</v>
      </c>
      <c r="U31" s="1">
        <f t="shared" si="7"/>
        <v>2.78149261207112</v>
      </c>
      <c r="V31" s="1" t="s">
        <v>61</v>
      </c>
      <c r="W31" s="1">
        <f>1832.3*E31</f>
        <v>1319.256</v>
      </c>
      <c r="X31" s="1" t="s">
        <v>61</v>
      </c>
      <c r="Y31" s="1">
        <f>1859.3*E31</f>
        <v>1338.696</v>
      </c>
      <c r="Z31" s="1" t="s">
        <v>61</v>
      </c>
      <c r="AA31" s="1">
        <f>2058*E31</f>
        <v>1481.76</v>
      </c>
      <c r="AB31" s="1" t="s">
        <v>61</v>
      </c>
      <c r="AC31" s="14">
        <f>2280*E31</f>
        <v>1641.6</v>
      </c>
      <c r="AD31" s="1" t="s">
        <v>61</v>
      </c>
      <c r="AE31" s="1">
        <f>1463*E31</f>
        <v>1053.36</v>
      </c>
      <c r="AF31" s="1" t="s">
        <v>61</v>
      </c>
      <c r="AG31" s="1">
        <f t="shared" si="1"/>
        <v>1366.9344</v>
      </c>
      <c r="AH31" s="1">
        <v>1420.56</v>
      </c>
      <c r="AI31" s="1">
        <f t="shared" si="2"/>
        <v>194.94904546327</v>
      </c>
      <c r="AJ31" s="1">
        <f t="shared" si="8"/>
        <v>0.862766060241546</v>
      </c>
      <c r="AK31" s="1" t="s">
        <v>61</v>
      </c>
      <c r="AL31" s="1">
        <v>2924</v>
      </c>
      <c r="AM31" s="1" t="s">
        <v>61</v>
      </c>
      <c r="AN31" s="1">
        <f>2018*E31</f>
        <v>1452.96</v>
      </c>
      <c r="AO31" s="1">
        <f t="shared" ref="AO31:AO94" si="88">AL31/AN31</f>
        <v>2.0124435634842</v>
      </c>
      <c r="AP31" s="1" t="s">
        <v>61</v>
      </c>
      <c r="AQ31" s="1">
        <f>5551*E31</f>
        <v>3996.72</v>
      </c>
      <c r="AR31" s="1">
        <f t="shared" si="24"/>
        <v>2.43464912280702</v>
      </c>
      <c r="AS31" s="1" t="s">
        <v>61</v>
      </c>
      <c r="AT31" s="1">
        <f>5238*E31</f>
        <v>3771.36</v>
      </c>
      <c r="AU31" s="1">
        <f t="shared" si="26"/>
        <v>2.54518950437318</v>
      </c>
      <c r="AV31" s="1" t="s">
        <v>61</v>
      </c>
      <c r="AW31" s="1">
        <f>4718.6*E31</f>
        <v>3397.392</v>
      </c>
      <c r="AX31" s="1">
        <f t="shared" si="28"/>
        <v>2.53783682030872</v>
      </c>
      <c r="AY31" s="1" t="s">
        <v>61</v>
      </c>
      <c r="AZ31" s="1">
        <f>4493.7*E31</f>
        <v>3235.464</v>
      </c>
      <c r="BA31" s="1">
        <f t="shared" si="30"/>
        <v>2.45249140424603</v>
      </c>
      <c r="BB31" s="1" t="s">
        <v>61</v>
      </c>
      <c r="BC31" s="1">
        <v>182</v>
      </c>
      <c r="BD31" s="1" t="s">
        <v>61</v>
      </c>
      <c r="BE31" s="1">
        <v>3110</v>
      </c>
      <c r="BF31" s="1">
        <v>1.109</v>
      </c>
      <c r="BG31" s="1" t="s">
        <v>61</v>
      </c>
      <c r="BH31" s="1">
        <f>139*E31</f>
        <v>100.08</v>
      </c>
      <c r="BI31" s="1" t="s">
        <v>61</v>
      </c>
      <c r="BJ31" s="1">
        <f>2578*E31</f>
        <v>1856.16</v>
      </c>
      <c r="BK31" s="1">
        <f t="shared" si="10"/>
        <v>0.0539177657098526</v>
      </c>
      <c r="BL31" s="1" t="s">
        <v>61</v>
      </c>
      <c r="BM31" s="1">
        <f>201*E31</f>
        <v>144.72</v>
      </c>
      <c r="BN31" s="1" t="s">
        <v>61</v>
      </c>
      <c r="BO31" s="1">
        <f>3463*E31</f>
        <v>2493.36</v>
      </c>
      <c r="BP31" s="1">
        <f t="shared" si="11"/>
        <v>0.0580421599768986</v>
      </c>
      <c r="BQ31" s="1" t="s">
        <v>61</v>
      </c>
      <c r="BR31" s="1">
        <f>158*E31</f>
        <v>113.76</v>
      </c>
      <c r="BS31" s="1" t="s">
        <v>61</v>
      </c>
      <c r="BT31" s="1">
        <f>2445*E31</f>
        <v>1760.4</v>
      </c>
      <c r="BU31" s="1">
        <f t="shared" si="12"/>
        <v>0.0646216768916155</v>
      </c>
      <c r="BV31" s="1" t="s">
        <v>61</v>
      </c>
      <c r="BW31" s="1">
        <f>167.1*E31</f>
        <v>120.312</v>
      </c>
      <c r="BX31" s="1" t="s">
        <v>61</v>
      </c>
      <c r="BY31" s="1">
        <f>2110.2*E31</f>
        <v>1519.344</v>
      </c>
      <c r="BZ31" s="1">
        <f t="shared" si="13"/>
        <v>0.079186806937731</v>
      </c>
      <c r="CA31" s="1" t="s">
        <v>61</v>
      </c>
      <c r="CB31" s="1">
        <f>118.7*E31</f>
        <v>85.464</v>
      </c>
      <c r="CC31" s="1" t="s">
        <v>61</v>
      </c>
      <c r="CD31" s="1">
        <f>1971.5*E31</f>
        <v>1419.48</v>
      </c>
      <c r="CE31" s="1">
        <f t="shared" si="14"/>
        <v>0.0602079634795841</v>
      </c>
      <c r="CF31" s="1">
        <f t="shared" si="15"/>
        <v>0.0539177657098526</v>
      </c>
      <c r="CG31" s="1">
        <f t="shared" si="16"/>
        <v>23.571983663642</v>
      </c>
      <c r="CH31" s="32">
        <v>0.0834</v>
      </c>
      <c r="CI31" s="1">
        <f t="shared" si="17"/>
        <v>678.267556351624</v>
      </c>
    </row>
    <row r="32" s="1" customFormat="1" spans="1:87">
      <c r="A32" s="1">
        <v>30</v>
      </c>
      <c r="B32" s="1" t="s">
        <v>112</v>
      </c>
      <c r="C32" s="1" t="s">
        <v>113</v>
      </c>
      <c r="D32" s="1" t="s">
        <v>111</v>
      </c>
      <c r="E32" s="10">
        <v>0.1768</v>
      </c>
      <c r="F32" s="10">
        <v>0.01013064</v>
      </c>
      <c r="G32" s="1"/>
      <c r="H32" s="9"/>
      <c r="I32" s="13" t="s">
        <v>61</v>
      </c>
      <c r="J32" s="14">
        <v>88924</v>
      </c>
      <c r="K32" s="13" t="s">
        <v>61</v>
      </c>
      <c r="L32" s="1">
        <v>657</v>
      </c>
      <c r="M32" s="1" t="s">
        <v>61</v>
      </c>
      <c r="N32" s="1">
        <v>517</v>
      </c>
      <c r="O32" s="1">
        <f t="shared" si="87"/>
        <v>-0.213089802130898</v>
      </c>
      <c r="P32" s="1" t="s">
        <v>61</v>
      </c>
      <c r="Q32" s="1">
        <f>6*E32</f>
        <v>1.0608</v>
      </c>
      <c r="R32" s="1" t="s">
        <v>61</v>
      </c>
      <c r="S32" s="1">
        <f>62*E32</f>
        <v>10.9616</v>
      </c>
      <c r="T32" s="1">
        <f t="shared" si="6"/>
        <v>9.33333333333333</v>
      </c>
      <c r="U32" s="1">
        <f t="shared" si="7"/>
        <v>2.78006088280061</v>
      </c>
      <c r="V32" s="1" t="s">
        <v>61</v>
      </c>
      <c r="W32" s="1">
        <f>1832.3*E32</f>
        <v>323.95064</v>
      </c>
      <c r="X32" s="1" t="s">
        <v>61</v>
      </c>
      <c r="Y32" s="1">
        <f>1859.3*E32</f>
        <v>328.72424</v>
      </c>
      <c r="Z32" s="1" t="s">
        <v>61</v>
      </c>
      <c r="AA32" s="1">
        <f>2058*E32</f>
        <v>363.8544</v>
      </c>
      <c r="AB32" s="1" t="s">
        <v>61</v>
      </c>
      <c r="AC32" s="14">
        <f>2280*E32</f>
        <v>403.104</v>
      </c>
      <c r="AD32" s="1" t="s">
        <v>61</v>
      </c>
      <c r="AE32" s="1">
        <f>1463*E32</f>
        <v>258.6584</v>
      </c>
      <c r="AF32" s="1" t="s">
        <v>61</v>
      </c>
      <c r="AG32" s="1">
        <f t="shared" si="1"/>
        <v>335.658336</v>
      </c>
      <c r="AH32" s="1">
        <v>348.8264</v>
      </c>
      <c r="AI32" s="1">
        <f t="shared" si="2"/>
        <v>47.8708211637584</v>
      </c>
      <c r="AJ32" s="1">
        <f t="shared" si="8"/>
        <v>0.862766060241546</v>
      </c>
      <c r="AK32" s="1" t="s">
        <v>61</v>
      </c>
      <c r="AL32" s="1">
        <v>718</v>
      </c>
      <c r="AM32" s="1" t="s">
        <v>61</v>
      </c>
      <c r="AN32" s="1">
        <f>2018*E32</f>
        <v>356.7824</v>
      </c>
      <c r="AO32" s="1">
        <f t="shared" si="88"/>
        <v>2.01243110646713</v>
      </c>
      <c r="AP32" s="1" t="s">
        <v>61</v>
      </c>
      <c r="AQ32" s="1">
        <f>5551*E32</f>
        <v>981.4168</v>
      </c>
      <c r="AR32" s="1">
        <f t="shared" si="24"/>
        <v>2.43464912280702</v>
      </c>
      <c r="AS32" s="1" t="s">
        <v>61</v>
      </c>
      <c r="AT32" s="1">
        <f>5238*E32</f>
        <v>926.0784</v>
      </c>
      <c r="AU32" s="1">
        <f t="shared" si="26"/>
        <v>2.54518950437318</v>
      </c>
      <c r="AV32" s="1" t="s">
        <v>61</v>
      </c>
      <c r="AW32" s="1">
        <f>4718.6*E32</f>
        <v>834.24848</v>
      </c>
      <c r="AX32" s="1">
        <f t="shared" si="28"/>
        <v>2.53783682030872</v>
      </c>
      <c r="AY32" s="1" t="s">
        <v>61</v>
      </c>
      <c r="AZ32" s="1">
        <f>4493.7*E32</f>
        <v>794.48616</v>
      </c>
      <c r="BA32" s="1">
        <f t="shared" si="30"/>
        <v>2.45249140424603</v>
      </c>
      <c r="BB32" s="1" t="s">
        <v>61</v>
      </c>
      <c r="BC32" s="1">
        <v>182</v>
      </c>
      <c r="BD32" s="1" t="s">
        <v>61</v>
      </c>
      <c r="BE32" s="1">
        <v>3110</v>
      </c>
      <c r="BF32" s="1">
        <v>1.109</v>
      </c>
      <c r="BG32" s="1" t="s">
        <v>61</v>
      </c>
      <c r="BH32" s="1">
        <f>139*E32</f>
        <v>24.5752</v>
      </c>
      <c r="BI32" s="1" t="s">
        <v>61</v>
      </c>
      <c r="BJ32" s="1">
        <f>2578*E32</f>
        <v>455.7904</v>
      </c>
      <c r="BK32" s="1">
        <f t="shared" si="10"/>
        <v>0.0539177657098526</v>
      </c>
      <c r="BL32" s="1" t="s">
        <v>61</v>
      </c>
      <c r="BM32" s="1">
        <f>201*E32</f>
        <v>35.5368</v>
      </c>
      <c r="BN32" s="1" t="s">
        <v>61</v>
      </c>
      <c r="BO32" s="1">
        <f>3463*E32</f>
        <v>612.2584</v>
      </c>
      <c r="BP32" s="1">
        <f t="shared" si="11"/>
        <v>0.0580421599768986</v>
      </c>
      <c r="BQ32" s="1" t="s">
        <v>61</v>
      </c>
      <c r="BR32" s="1">
        <f>158*E32</f>
        <v>27.9344</v>
      </c>
      <c r="BS32" s="1" t="s">
        <v>61</v>
      </c>
      <c r="BT32" s="1">
        <f>2445*E32</f>
        <v>432.276</v>
      </c>
      <c r="BU32" s="1">
        <f t="shared" si="12"/>
        <v>0.0646216768916155</v>
      </c>
      <c r="BV32" s="1" t="s">
        <v>61</v>
      </c>
      <c r="BW32" s="1">
        <f>167.1*E32</f>
        <v>29.54328</v>
      </c>
      <c r="BX32" s="1" t="s">
        <v>61</v>
      </c>
      <c r="BY32" s="1">
        <f>2110.2*E32</f>
        <v>373.08336</v>
      </c>
      <c r="BZ32" s="1">
        <f t="shared" si="13"/>
        <v>0.079186806937731</v>
      </c>
      <c r="CA32" s="1" t="s">
        <v>61</v>
      </c>
      <c r="CB32" s="1">
        <f>118.7*E32</f>
        <v>20.98616</v>
      </c>
      <c r="CC32" s="1" t="s">
        <v>61</v>
      </c>
      <c r="CD32" s="1">
        <f>1971.5*E32</f>
        <v>348.5612</v>
      </c>
      <c r="CE32" s="1">
        <f t="shared" si="14"/>
        <v>0.0602079634795841</v>
      </c>
      <c r="CF32" s="1">
        <f t="shared" si="15"/>
        <v>0.0539177657098526</v>
      </c>
      <c r="CG32" s="1">
        <f t="shared" si="16"/>
        <v>5.83826755292971</v>
      </c>
      <c r="CH32" s="32">
        <v>0.0834</v>
      </c>
      <c r="CI32" s="1">
        <f t="shared" si="17"/>
        <v>167.905646944067</v>
      </c>
    </row>
    <row r="33" hidden="1" spans="1:55">
      <c r="A33" s="1"/>
      <c r="B33" t="s">
        <v>114</v>
      </c>
      <c r="C33" t="s">
        <v>115</v>
      </c>
      <c r="D33" t="s">
        <v>116</v>
      </c>
      <c r="G33" s="1"/>
      <c r="H33" s="9"/>
      <c r="I33" s="13" t="s">
        <v>61</v>
      </c>
      <c r="J33" s="16">
        <v>57000</v>
      </c>
      <c r="K33" s="16" t="s">
        <v>61</v>
      </c>
      <c r="L33" t="s">
        <v>117</v>
      </c>
      <c r="M33" s="16"/>
      <c r="O33" t="e">
        <f t="shared" si="87"/>
        <v>#VALUE!</v>
      </c>
      <c r="AG33">
        <f t="shared" si="1"/>
        <v>0</v>
      </c>
      <c r="AI33" t="e">
        <f t="shared" si="2"/>
        <v>#DIV/0!</v>
      </c>
      <c r="AK33" t="s">
        <v>61</v>
      </c>
      <c r="AL33" t="s">
        <v>118</v>
      </c>
      <c r="AO33" t="e">
        <f t="shared" si="88"/>
        <v>#VALUE!</v>
      </c>
      <c r="BB33" t="s">
        <v>61</v>
      </c>
      <c r="BC33">
        <v>182</v>
      </c>
    </row>
    <row r="34" hidden="1" spans="1:88">
      <c r="A34" s="1"/>
      <c r="B34" s="7" t="s">
        <v>119</v>
      </c>
      <c r="C34" s="7" t="s">
        <v>119</v>
      </c>
      <c r="D34" s="7" t="s">
        <v>119</v>
      </c>
      <c r="E34" s="3"/>
      <c r="F34" s="12">
        <v>0.018</v>
      </c>
      <c r="G34" s="1"/>
      <c r="H34" s="9"/>
      <c r="I34" s="13" t="s">
        <v>61</v>
      </c>
      <c r="J34" s="16">
        <v>1547000</v>
      </c>
      <c r="K34" s="3" t="s">
        <v>61</v>
      </c>
      <c r="L34" t="s">
        <v>120</v>
      </c>
      <c r="M34" s="3" t="s">
        <v>61</v>
      </c>
      <c r="N34" s="3" t="s">
        <v>121</v>
      </c>
      <c r="O34" t="e">
        <f t="shared" si="87"/>
        <v>#VALUE!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>
        <f t="shared" si="1"/>
        <v>0</v>
      </c>
      <c r="AI34" t="e">
        <f t="shared" si="2"/>
        <v>#DIV/0!</v>
      </c>
      <c r="AJ34" s="3"/>
      <c r="AK34" s="3" t="s">
        <v>61</v>
      </c>
      <c r="AL34" s="3">
        <v>22600</v>
      </c>
      <c r="AM34" s="3"/>
      <c r="AN34" s="3"/>
      <c r="AO34" t="e">
        <f t="shared" si="88"/>
        <v>#DIV/0!</v>
      </c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3">
        <v>0.8962</v>
      </c>
    </row>
    <row r="35" hidden="1" spans="1:55">
      <c r="A35" s="1"/>
      <c r="B35" t="s">
        <v>122</v>
      </c>
      <c r="C35" t="s">
        <v>123</v>
      </c>
      <c r="D35" s="8" t="s">
        <v>124</v>
      </c>
      <c r="G35" s="1"/>
      <c r="H35" s="9"/>
      <c r="I35" s="13" t="s">
        <v>61</v>
      </c>
      <c r="J35" s="16">
        <v>57000</v>
      </c>
      <c r="K35" s="13" t="s">
        <v>78</v>
      </c>
      <c r="L35" t="s">
        <v>125</v>
      </c>
      <c r="O35" t="e">
        <f t="shared" si="87"/>
        <v>#VALUE!</v>
      </c>
      <c r="AG35">
        <f t="shared" si="1"/>
        <v>0</v>
      </c>
      <c r="AI35" t="e">
        <f t="shared" si="2"/>
        <v>#DIV/0!</v>
      </c>
      <c r="AK35" s="13" t="s">
        <v>78</v>
      </c>
      <c r="AL35" t="s">
        <v>126</v>
      </c>
      <c r="AO35" t="e">
        <f t="shared" si="88"/>
        <v>#VALUE!</v>
      </c>
      <c r="BB35" t="s">
        <v>61</v>
      </c>
      <c r="BC35">
        <v>182</v>
      </c>
    </row>
    <row r="36" hidden="1" spans="1:55">
      <c r="A36" s="1"/>
      <c r="B36" t="s">
        <v>127</v>
      </c>
      <c r="C36" t="s">
        <v>128</v>
      </c>
      <c r="D36" s="8" t="s">
        <v>129</v>
      </c>
      <c r="G36" s="1"/>
      <c r="H36" s="9"/>
      <c r="I36" s="13" t="s">
        <v>61</v>
      </c>
      <c r="J36" s="16">
        <v>57000</v>
      </c>
      <c r="K36" s="13" t="s">
        <v>78</v>
      </c>
      <c r="L36">
        <v>476</v>
      </c>
      <c r="O36">
        <f t="shared" si="87"/>
        <v>-1</v>
      </c>
      <c r="AG36">
        <f t="shared" si="1"/>
        <v>0</v>
      </c>
      <c r="AI36" t="e">
        <f t="shared" si="2"/>
        <v>#DIV/0!</v>
      </c>
      <c r="AK36" s="13" t="s">
        <v>78</v>
      </c>
      <c r="AL36" t="s">
        <v>130</v>
      </c>
      <c r="AO36" t="e">
        <f t="shared" si="88"/>
        <v>#VALUE!</v>
      </c>
      <c r="BB36" t="s">
        <v>61</v>
      </c>
      <c r="BC36">
        <v>182</v>
      </c>
    </row>
    <row r="37" hidden="1" spans="1:87">
      <c r="A37" s="1"/>
      <c r="B37" t="s">
        <v>131</v>
      </c>
      <c r="C37" t="s">
        <v>132</v>
      </c>
      <c r="D37" s="8" t="s">
        <v>133</v>
      </c>
      <c r="E37" s="1"/>
      <c r="F37" s="1"/>
      <c r="G37" s="1"/>
      <c r="H37" s="9"/>
      <c r="I37" s="13" t="s">
        <v>61</v>
      </c>
      <c r="J37" s="16">
        <v>57000</v>
      </c>
      <c r="K37" t="s">
        <v>134</v>
      </c>
      <c r="L37">
        <v>1626</v>
      </c>
      <c r="M37" t="s">
        <v>134</v>
      </c>
      <c r="N37" s="20">
        <v>1678</v>
      </c>
      <c r="O37">
        <f t="shared" si="87"/>
        <v>0.031980319803198</v>
      </c>
      <c r="AG37">
        <f t="shared" si="1"/>
        <v>0</v>
      </c>
      <c r="AI37" t="e">
        <f t="shared" si="2"/>
        <v>#DIV/0!</v>
      </c>
      <c r="AK37" t="s">
        <v>134</v>
      </c>
      <c r="AL37" s="20">
        <v>2343.9</v>
      </c>
      <c r="AM37" s="28"/>
      <c r="AO37" t="e">
        <f t="shared" si="88"/>
        <v>#DIV/0!</v>
      </c>
      <c r="BB37" t="s">
        <v>61</v>
      </c>
      <c r="BC37">
        <v>182</v>
      </c>
      <c r="CI37">
        <v>0.53</v>
      </c>
    </row>
    <row r="38" hidden="1" spans="1:55">
      <c r="A38" s="1"/>
      <c r="B38" t="s">
        <v>135</v>
      </c>
      <c r="C38" t="s">
        <v>136</v>
      </c>
      <c r="D38" s="8" t="s">
        <v>137</v>
      </c>
      <c r="G38" s="1"/>
      <c r="H38" s="9"/>
      <c r="I38" s="13" t="s">
        <v>61</v>
      </c>
      <c r="J38" s="16">
        <v>57000</v>
      </c>
      <c r="L38" t="s">
        <v>138</v>
      </c>
      <c r="M38" t="s">
        <v>61</v>
      </c>
      <c r="N38">
        <v>2317</v>
      </c>
      <c r="O38" t="e">
        <f t="shared" si="87"/>
        <v>#VALUE!</v>
      </c>
      <c r="W38" s="23" t="s">
        <v>139</v>
      </c>
      <c r="X38" s="23"/>
      <c r="AG38" t="e">
        <f t="shared" si="1"/>
        <v>#VALUE!</v>
      </c>
      <c r="AI38">
        <f t="shared" si="2"/>
        <v>0</v>
      </c>
      <c r="AK38" t="s">
        <v>61</v>
      </c>
      <c r="AL38" t="s">
        <v>140</v>
      </c>
      <c r="AN38" s="23"/>
      <c r="AO38" t="e">
        <f t="shared" si="88"/>
        <v>#VALUE!</v>
      </c>
      <c r="BB38" t="s">
        <v>61</v>
      </c>
      <c r="BC38">
        <v>182</v>
      </c>
    </row>
    <row r="39" hidden="1" spans="1:87">
      <c r="A39" s="1"/>
      <c r="B39" t="s">
        <v>141</v>
      </c>
      <c r="C39" t="s">
        <v>142</v>
      </c>
      <c r="D39" t="s">
        <v>143</v>
      </c>
      <c r="G39" s="1"/>
      <c r="H39" s="9"/>
      <c r="I39" s="13" t="s">
        <v>61</v>
      </c>
      <c r="J39" s="16">
        <v>57000</v>
      </c>
      <c r="K39" t="s">
        <v>61</v>
      </c>
      <c r="L39" t="s">
        <v>144</v>
      </c>
      <c r="O39" t="e">
        <f t="shared" si="87"/>
        <v>#VALUE!</v>
      </c>
      <c r="AG39">
        <f t="shared" si="1"/>
        <v>0</v>
      </c>
      <c r="AI39" t="e">
        <f t="shared" si="2"/>
        <v>#DIV/0!</v>
      </c>
      <c r="AK39" t="s">
        <v>61</v>
      </c>
      <c r="AL39" t="s">
        <v>145</v>
      </c>
      <c r="AO39" t="e">
        <f t="shared" si="88"/>
        <v>#VALUE!</v>
      </c>
      <c r="BB39" t="s">
        <v>61</v>
      </c>
      <c r="BC39">
        <v>182</v>
      </c>
      <c r="CI39">
        <v>0.65</v>
      </c>
    </row>
    <row r="40" hidden="1" spans="1:87">
      <c r="A40" s="1"/>
      <c r="B40" t="s">
        <v>146</v>
      </c>
      <c r="C40" t="s">
        <v>147</v>
      </c>
      <c r="D40" s="8" t="s">
        <v>148</v>
      </c>
      <c r="G40" s="1"/>
      <c r="H40" s="9"/>
      <c r="I40" s="13" t="s">
        <v>61</v>
      </c>
      <c r="J40" s="16">
        <v>57000</v>
      </c>
      <c r="K40" s="13" t="s">
        <v>78</v>
      </c>
      <c r="L40" t="s">
        <v>149</v>
      </c>
      <c r="M40" t="s">
        <v>61</v>
      </c>
      <c r="N40" t="s">
        <v>150</v>
      </c>
      <c r="O40" t="e">
        <f t="shared" si="87"/>
        <v>#VALUE!</v>
      </c>
      <c r="AG40">
        <f t="shared" si="1"/>
        <v>0</v>
      </c>
      <c r="AI40" t="e">
        <f t="shared" si="2"/>
        <v>#DIV/0!</v>
      </c>
      <c r="AK40" t="s">
        <v>61</v>
      </c>
      <c r="AL40" t="s">
        <v>151</v>
      </c>
      <c r="AO40" t="e">
        <f t="shared" si="88"/>
        <v>#VALUE!</v>
      </c>
      <c r="BB40" t="s">
        <v>61</v>
      </c>
      <c r="BC40">
        <v>182</v>
      </c>
      <c r="CI40">
        <v>0.46</v>
      </c>
    </row>
    <row r="41" hidden="1" spans="1:55">
      <c r="A41" s="1"/>
      <c r="B41" t="s">
        <v>152</v>
      </c>
      <c r="C41" t="s">
        <v>152</v>
      </c>
      <c r="D41" s="8" t="s">
        <v>153</v>
      </c>
      <c r="G41" s="1"/>
      <c r="H41" s="9"/>
      <c r="I41" s="13" t="s">
        <v>61</v>
      </c>
      <c r="J41" s="16">
        <v>57000</v>
      </c>
      <c r="K41" s="13" t="s">
        <v>61</v>
      </c>
      <c r="L41" t="s">
        <v>154</v>
      </c>
      <c r="M41" t="s">
        <v>61</v>
      </c>
      <c r="N41" t="s">
        <v>155</v>
      </c>
      <c r="O41" t="e">
        <f t="shared" si="87"/>
        <v>#VALUE!</v>
      </c>
      <c r="AG41">
        <f t="shared" si="1"/>
        <v>0</v>
      </c>
      <c r="AI41" t="e">
        <f t="shared" si="2"/>
        <v>#DIV/0!</v>
      </c>
      <c r="AK41" t="s">
        <v>61</v>
      </c>
      <c r="AL41">
        <v>2606</v>
      </c>
      <c r="AO41" t="e">
        <f t="shared" si="88"/>
        <v>#DIV/0!</v>
      </c>
      <c r="BB41" t="s">
        <v>61</v>
      </c>
      <c r="BC41">
        <v>182</v>
      </c>
    </row>
    <row r="42" hidden="1" spans="1:55">
      <c r="A42" s="1"/>
      <c r="B42" t="s">
        <v>156</v>
      </c>
      <c r="C42" t="s">
        <v>157</v>
      </c>
      <c r="D42" t="s">
        <v>158</v>
      </c>
      <c r="G42" s="1"/>
      <c r="H42" s="9"/>
      <c r="I42" s="13" t="s">
        <v>61</v>
      </c>
      <c r="J42" s="16">
        <v>57000</v>
      </c>
      <c r="L42" t="s">
        <v>159</v>
      </c>
      <c r="O42" t="e">
        <f t="shared" si="87"/>
        <v>#VALUE!</v>
      </c>
      <c r="AG42">
        <f t="shared" si="1"/>
        <v>0</v>
      </c>
      <c r="AI42" t="e">
        <f t="shared" si="2"/>
        <v>#DIV/0!</v>
      </c>
      <c r="AK42" t="s">
        <v>61</v>
      </c>
      <c r="AL42" t="s">
        <v>160</v>
      </c>
      <c r="AO42" t="e">
        <f t="shared" si="88"/>
        <v>#VALUE!</v>
      </c>
      <c r="BB42" t="s">
        <v>61</v>
      </c>
      <c r="BC42">
        <v>182</v>
      </c>
    </row>
    <row r="43" hidden="1" spans="1:55">
      <c r="A43" s="1"/>
      <c r="B43" t="s">
        <v>161</v>
      </c>
      <c r="C43" t="s">
        <v>162</v>
      </c>
      <c r="D43" t="s">
        <v>163</v>
      </c>
      <c r="G43" s="1"/>
      <c r="H43" s="9"/>
      <c r="I43" s="13" t="s">
        <v>61</v>
      </c>
      <c r="J43" s="16">
        <v>57000</v>
      </c>
      <c r="L43" t="s">
        <v>164</v>
      </c>
      <c r="O43" t="e">
        <f t="shared" si="87"/>
        <v>#VALUE!</v>
      </c>
      <c r="AG43">
        <f t="shared" si="1"/>
        <v>0</v>
      </c>
      <c r="AI43" t="e">
        <f t="shared" si="2"/>
        <v>#DIV/0!</v>
      </c>
      <c r="AK43" t="s">
        <v>61</v>
      </c>
      <c r="AL43" t="s">
        <v>165</v>
      </c>
      <c r="AO43" t="e">
        <f t="shared" si="88"/>
        <v>#VALUE!</v>
      </c>
      <c r="BB43" t="s">
        <v>61</v>
      </c>
      <c r="BC43">
        <v>182</v>
      </c>
    </row>
    <row r="44" hidden="1" spans="1:87">
      <c r="A44" s="1"/>
      <c r="B44" t="s">
        <v>166</v>
      </c>
      <c r="C44" t="s">
        <v>167</v>
      </c>
      <c r="D44" t="s">
        <v>168</v>
      </c>
      <c r="G44" s="1"/>
      <c r="H44" s="9"/>
      <c r="I44" s="13" t="s">
        <v>61</v>
      </c>
      <c r="J44" s="16">
        <v>57000</v>
      </c>
      <c r="L44" t="s">
        <v>169</v>
      </c>
      <c r="O44" t="e">
        <f t="shared" si="87"/>
        <v>#VALUE!</v>
      </c>
      <c r="AG44">
        <f t="shared" si="1"/>
        <v>0</v>
      </c>
      <c r="AI44" t="e">
        <f t="shared" si="2"/>
        <v>#DIV/0!</v>
      </c>
      <c r="AK44" t="s">
        <v>61</v>
      </c>
      <c r="AL44" t="s">
        <v>170</v>
      </c>
      <c r="AO44" t="e">
        <f t="shared" si="88"/>
        <v>#VALUE!</v>
      </c>
      <c r="BB44" t="s">
        <v>61</v>
      </c>
      <c r="BC44">
        <v>182</v>
      </c>
      <c r="CI44">
        <v>0.54</v>
      </c>
    </row>
    <row r="45" hidden="1" spans="1:55">
      <c r="A45" s="1"/>
      <c r="B45" t="s">
        <v>171</v>
      </c>
      <c r="C45" t="s">
        <v>172</v>
      </c>
      <c r="D45" t="s">
        <v>173</v>
      </c>
      <c r="G45" s="1"/>
      <c r="H45" s="9"/>
      <c r="I45" s="13" t="s">
        <v>61</v>
      </c>
      <c r="J45" s="16">
        <v>57000</v>
      </c>
      <c r="L45" t="s">
        <v>174</v>
      </c>
      <c r="O45" t="e">
        <f t="shared" si="87"/>
        <v>#VALUE!</v>
      </c>
      <c r="AG45">
        <f t="shared" si="1"/>
        <v>0</v>
      </c>
      <c r="AI45" t="e">
        <f t="shared" si="2"/>
        <v>#DIV/0!</v>
      </c>
      <c r="AK45" t="s">
        <v>61</v>
      </c>
      <c r="AL45" t="s">
        <v>175</v>
      </c>
      <c r="AO45" t="e">
        <f t="shared" si="88"/>
        <v>#VALUE!</v>
      </c>
      <c r="BB45" t="s">
        <v>61</v>
      </c>
      <c r="BC45">
        <v>182</v>
      </c>
    </row>
    <row r="46" hidden="1" spans="1:55">
      <c r="A46" s="1"/>
      <c r="B46" t="s">
        <v>176</v>
      </c>
      <c r="C46" t="s">
        <v>177</v>
      </c>
      <c r="D46" t="s">
        <v>173</v>
      </c>
      <c r="G46" s="1"/>
      <c r="H46" s="9"/>
      <c r="I46" s="13" t="s">
        <v>61</v>
      </c>
      <c r="J46" s="16">
        <v>57000</v>
      </c>
      <c r="L46" t="s">
        <v>174</v>
      </c>
      <c r="O46" t="e">
        <f t="shared" si="87"/>
        <v>#VALUE!</v>
      </c>
      <c r="AG46">
        <f t="shared" si="1"/>
        <v>0</v>
      </c>
      <c r="AI46" t="e">
        <f t="shared" si="2"/>
        <v>#DIV/0!</v>
      </c>
      <c r="AK46" t="s">
        <v>61</v>
      </c>
      <c r="AL46" t="s">
        <v>175</v>
      </c>
      <c r="AO46" t="e">
        <f t="shared" si="88"/>
        <v>#VALUE!</v>
      </c>
      <c r="BB46" t="s">
        <v>61</v>
      </c>
      <c r="BC46">
        <v>182</v>
      </c>
    </row>
    <row r="47" hidden="1" spans="1:55">
      <c r="A47" s="1"/>
      <c r="B47" t="s">
        <v>178</v>
      </c>
      <c r="C47" t="s">
        <v>179</v>
      </c>
      <c r="D47" t="s">
        <v>173</v>
      </c>
      <c r="G47" s="1"/>
      <c r="H47" s="9"/>
      <c r="I47" s="13" t="s">
        <v>61</v>
      </c>
      <c r="J47" s="16">
        <v>57000</v>
      </c>
      <c r="L47" t="s">
        <v>174</v>
      </c>
      <c r="O47" t="e">
        <f t="shared" si="87"/>
        <v>#VALUE!</v>
      </c>
      <c r="AG47">
        <f t="shared" si="1"/>
        <v>0</v>
      </c>
      <c r="AI47" t="e">
        <f t="shared" si="2"/>
        <v>#DIV/0!</v>
      </c>
      <c r="AK47" t="s">
        <v>61</v>
      </c>
      <c r="AL47" t="s">
        <v>175</v>
      </c>
      <c r="AO47" t="e">
        <f t="shared" si="88"/>
        <v>#VALUE!</v>
      </c>
      <c r="BB47" t="s">
        <v>61</v>
      </c>
      <c r="BC47">
        <v>182</v>
      </c>
    </row>
    <row r="48" hidden="1" spans="1:55">
      <c r="A48" s="1"/>
      <c r="B48" t="s">
        <v>180</v>
      </c>
      <c r="C48" t="s">
        <v>181</v>
      </c>
      <c r="D48" t="s">
        <v>173</v>
      </c>
      <c r="G48" s="1"/>
      <c r="H48" s="9"/>
      <c r="I48" s="13" t="s">
        <v>61</v>
      </c>
      <c r="J48" s="16">
        <v>57000</v>
      </c>
      <c r="L48" t="s">
        <v>174</v>
      </c>
      <c r="O48" t="e">
        <f t="shared" si="87"/>
        <v>#VALUE!</v>
      </c>
      <c r="AG48">
        <f t="shared" si="1"/>
        <v>0</v>
      </c>
      <c r="AI48" t="e">
        <f t="shared" si="2"/>
        <v>#DIV/0!</v>
      </c>
      <c r="AK48" t="s">
        <v>61</v>
      </c>
      <c r="AL48" t="s">
        <v>175</v>
      </c>
      <c r="AO48" t="e">
        <f t="shared" si="88"/>
        <v>#VALUE!</v>
      </c>
      <c r="BB48" t="s">
        <v>61</v>
      </c>
      <c r="BC48">
        <v>182</v>
      </c>
    </row>
    <row r="49" hidden="1" spans="1:55">
      <c r="A49" s="1"/>
      <c r="B49" t="s">
        <v>182</v>
      </c>
      <c r="C49" t="s">
        <v>183</v>
      </c>
      <c r="D49" t="s">
        <v>184</v>
      </c>
      <c r="G49" s="1"/>
      <c r="H49" s="9"/>
      <c r="I49" s="13" t="s">
        <v>61</v>
      </c>
      <c r="J49" s="16">
        <v>57000</v>
      </c>
      <c r="L49" t="s">
        <v>185</v>
      </c>
      <c r="O49" t="e">
        <f t="shared" si="87"/>
        <v>#VALUE!</v>
      </c>
      <c r="AG49">
        <f t="shared" si="1"/>
        <v>0</v>
      </c>
      <c r="AI49" t="e">
        <f t="shared" si="2"/>
        <v>#DIV/0!</v>
      </c>
      <c r="AK49" t="s">
        <v>61</v>
      </c>
      <c r="AL49" t="s">
        <v>186</v>
      </c>
      <c r="AO49" t="e">
        <f t="shared" si="88"/>
        <v>#VALUE!</v>
      </c>
      <c r="BB49" t="s">
        <v>61</v>
      </c>
      <c r="BC49">
        <v>182</v>
      </c>
    </row>
    <row r="50" hidden="1" spans="1:55">
      <c r="A50" s="1"/>
      <c r="B50" t="s">
        <v>187</v>
      </c>
      <c r="C50" t="s">
        <v>188</v>
      </c>
      <c r="D50" t="s">
        <v>184</v>
      </c>
      <c r="G50" s="1"/>
      <c r="H50" s="9"/>
      <c r="I50" s="13" t="s">
        <v>61</v>
      </c>
      <c r="J50" s="16">
        <v>57000</v>
      </c>
      <c r="L50" t="s">
        <v>185</v>
      </c>
      <c r="O50" t="e">
        <f t="shared" si="87"/>
        <v>#VALUE!</v>
      </c>
      <c r="AG50">
        <f t="shared" si="1"/>
        <v>0</v>
      </c>
      <c r="AI50" t="e">
        <f t="shared" si="2"/>
        <v>#DIV/0!</v>
      </c>
      <c r="AK50" t="s">
        <v>61</v>
      </c>
      <c r="AL50" t="s">
        <v>186</v>
      </c>
      <c r="AO50" t="e">
        <f t="shared" si="88"/>
        <v>#VALUE!</v>
      </c>
      <c r="BB50" t="s">
        <v>61</v>
      </c>
      <c r="BC50">
        <v>182</v>
      </c>
    </row>
    <row r="51" hidden="1" spans="1:55">
      <c r="A51" s="1"/>
      <c r="B51" t="s">
        <v>189</v>
      </c>
      <c r="C51" t="s">
        <v>190</v>
      </c>
      <c r="D51" t="s">
        <v>184</v>
      </c>
      <c r="G51" s="1"/>
      <c r="H51" s="9"/>
      <c r="I51" s="13" t="s">
        <v>61</v>
      </c>
      <c r="J51" s="16">
        <v>57000</v>
      </c>
      <c r="L51" t="s">
        <v>185</v>
      </c>
      <c r="O51" t="e">
        <f t="shared" si="87"/>
        <v>#VALUE!</v>
      </c>
      <c r="AG51">
        <f t="shared" si="1"/>
        <v>0</v>
      </c>
      <c r="AI51" t="e">
        <f t="shared" si="2"/>
        <v>#DIV/0!</v>
      </c>
      <c r="AK51" t="s">
        <v>61</v>
      </c>
      <c r="AL51" t="s">
        <v>186</v>
      </c>
      <c r="AO51" t="e">
        <f t="shared" si="88"/>
        <v>#VALUE!</v>
      </c>
      <c r="BB51" t="s">
        <v>61</v>
      </c>
      <c r="BC51">
        <v>182</v>
      </c>
    </row>
    <row r="52" hidden="1" spans="1:55">
      <c r="A52" s="1"/>
      <c r="B52" t="s">
        <v>191</v>
      </c>
      <c r="C52" t="s">
        <v>192</v>
      </c>
      <c r="D52" t="s">
        <v>193</v>
      </c>
      <c r="G52" s="1"/>
      <c r="H52" s="9"/>
      <c r="I52" s="13" t="s">
        <v>61</v>
      </c>
      <c r="J52" s="16">
        <v>57000</v>
      </c>
      <c r="L52" t="s">
        <v>194</v>
      </c>
      <c r="O52" t="e">
        <f t="shared" si="87"/>
        <v>#VALUE!</v>
      </c>
      <c r="AG52">
        <f t="shared" si="1"/>
        <v>0</v>
      </c>
      <c r="AI52" t="e">
        <f t="shared" si="2"/>
        <v>#DIV/0!</v>
      </c>
      <c r="AK52" t="s">
        <v>61</v>
      </c>
      <c r="AL52" t="s">
        <v>195</v>
      </c>
      <c r="AO52" t="e">
        <f t="shared" si="88"/>
        <v>#VALUE!</v>
      </c>
      <c r="BB52" t="s">
        <v>61</v>
      </c>
      <c r="BC52">
        <v>182</v>
      </c>
    </row>
    <row r="53" hidden="1" spans="1:55">
      <c r="A53" s="1"/>
      <c r="B53" t="s">
        <v>196</v>
      </c>
      <c r="C53" t="s">
        <v>197</v>
      </c>
      <c r="D53" t="s">
        <v>193</v>
      </c>
      <c r="G53" s="1"/>
      <c r="H53" s="9"/>
      <c r="I53" s="13" t="s">
        <v>61</v>
      </c>
      <c r="J53" s="16">
        <v>57000</v>
      </c>
      <c r="L53" t="s">
        <v>194</v>
      </c>
      <c r="O53" t="e">
        <f t="shared" si="87"/>
        <v>#VALUE!</v>
      </c>
      <c r="AG53">
        <f t="shared" si="1"/>
        <v>0</v>
      </c>
      <c r="AI53" t="e">
        <f t="shared" si="2"/>
        <v>#DIV/0!</v>
      </c>
      <c r="AK53" t="s">
        <v>61</v>
      </c>
      <c r="AL53" t="s">
        <v>198</v>
      </c>
      <c r="AO53" t="e">
        <f t="shared" si="88"/>
        <v>#VALUE!</v>
      </c>
      <c r="BB53" t="s">
        <v>61</v>
      </c>
      <c r="BC53">
        <v>182</v>
      </c>
    </row>
    <row r="54" hidden="1" spans="1:55">
      <c r="A54" s="1"/>
      <c r="B54" t="s">
        <v>199</v>
      </c>
      <c r="C54" t="s">
        <v>200</v>
      </c>
      <c r="D54" t="s">
        <v>193</v>
      </c>
      <c r="G54" s="1"/>
      <c r="H54" s="9"/>
      <c r="I54" s="13" t="s">
        <v>61</v>
      </c>
      <c r="J54" s="16">
        <v>57000</v>
      </c>
      <c r="L54" t="s">
        <v>194</v>
      </c>
      <c r="O54" t="e">
        <f t="shared" si="87"/>
        <v>#VALUE!</v>
      </c>
      <c r="AG54">
        <f t="shared" si="1"/>
        <v>0</v>
      </c>
      <c r="AI54" t="e">
        <f t="shared" si="2"/>
        <v>#DIV/0!</v>
      </c>
      <c r="AK54" t="s">
        <v>61</v>
      </c>
      <c r="AL54" t="s">
        <v>198</v>
      </c>
      <c r="AO54" t="e">
        <f t="shared" si="88"/>
        <v>#VALUE!</v>
      </c>
      <c r="BB54" t="s">
        <v>61</v>
      </c>
      <c r="BC54">
        <v>182</v>
      </c>
    </row>
    <row r="55" hidden="1" spans="1:55">
      <c r="A55" s="1"/>
      <c r="B55" t="s">
        <v>201</v>
      </c>
      <c r="C55" t="s">
        <v>202</v>
      </c>
      <c r="D55" t="s">
        <v>193</v>
      </c>
      <c r="G55" s="1"/>
      <c r="H55" s="9"/>
      <c r="I55" s="13" t="s">
        <v>61</v>
      </c>
      <c r="J55" s="16">
        <v>57000</v>
      </c>
      <c r="L55" t="s">
        <v>194</v>
      </c>
      <c r="O55" t="e">
        <f t="shared" si="87"/>
        <v>#VALUE!</v>
      </c>
      <c r="AG55">
        <f t="shared" si="1"/>
        <v>0</v>
      </c>
      <c r="AI55" t="e">
        <f t="shared" si="2"/>
        <v>#DIV/0!</v>
      </c>
      <c r="AK55" t="s">
        <v>61</v>
      </c>
      <c r="AL55" t="s">
        <v>198</v>
      </c>
      <c r="AO55" t="e">
        <f t="shared" si="88"/>
        <v>#VALUE!</v>
      </c>
      <c r="BB55" t="s">
        <v>61</v>
      </c>
      <c r="BC55">
        <v>182</v>
      </c>
    </row>
    <row r="56" hidden="1" spans="1:55">
      <c r="A56" s="1"/>
      <c r="B56" t="s">
        <v>203</v>
      </c>
      <c r="C56" t="s">
        <v>204</v>
      </c>
      <c r="D56" t="s">
        <v>205</v>
      </c>
      <c r="G56" s="1"/>
      <c r="H56" s="9"/>
      <c r="I56" s="13" t="s">
        <v>61</v>
      </c>
      <c r="J56" s="16">
        <v>57000</v>
      </c>
      <c r="L56" t="s">
        <v>206</v>
      </c>
      <c r="O56" t="e">
        <f t="shared" si="87"/>
        <v>#VALUE!</v>
      </c>
      <c r="AG56">
        <f t="shared" si="1"/>
        <v>0</v>
      </c>
      <c r="AI56" t="e">
        <f t="shared" si="2"/>
        <v>#DIV/0!</v>
      </c>
      <c r="AK56" t="s">
        <v>61</v>
      </c>
      <c r="AL56" t="s">
        <v>207</v>
      </c>
      <c r="AO56" t="e">
        <f t="shared" si="88"/>
        <v>#VALUE!</v>
      </c>
      <c r="BB56" t="s">
        <v>61</v>
      </c>
      <c r="BC56">
        <v>182</v>
      </c>
    </row>
    <row r="57" hidden="1" spans="1:87">
      <c r="A57" s="1"/>
      <c r="B57" s="7" t="s">
        <v>208</v>
      </c>
      <c r="C57" s="7" t="s">
        <v>208</v>
      </c>
      <c r="D57" s="3" t="s">
        <v>209</v>
      </c>
      <c r="E57" s="3"/>
      <c r="F57" s="12">
        <v>0.007</v>
      </c>
      <c r="G57" s="1"/>
      <c r="H57" s="9"/>
      <c r="I57" s="17" t="s">
        <v>61</v>
      </c>
      <c r="J57" s="18">
        <v>57000</v>
      </c>
      <c r="K57" s="3" t="s">
        <v>61</v>
      </c>
      <c r="L57" s="3" t="s">
        <v>210</v>
      </c>
      <c r="M57" s="3" t="s">
        <v>61</v>
      </c>
      <c r="N57" s="3"/>
      <c r="O57" s="3" t="e">
        <f>(L57-#REF!)/#REF!</f>
        <v>#VALUE!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>
        <f t="shared" si="1"/>
        <v>0</v>
      </c>
      <c r="AI57" t="e">
        <f t="shared" si="2"/>
        <v>#DIV/0!</v>
      </c>
      <c r="AJ57" s="3"/>
      <c r="AK57" s="3" t="s">
        <v>61</v>
      </c>
      <c r="AL57" s="3" t="s">
        <v>211</v>
      </c>
      <c r="AM57" s="3"/>
      <c r="AN57" s="3"/>
      <c r="AO57" t="e">
        <f t="shared" si="88"/>
        <v>#VALUE!</v>
      </c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 t="s">
        <v>61</v>
      </c>
      <c r="BC57" s="3">
        <v>182</v>
      </c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</row>
    <row r="58" hidden="1" spans="1:55">
      <c r="A58" s="1"/>
      <c r="B58" t="s">
        <v>212</v>
      </c>
      <c r="C58" t="s">
        <v>213</v>
      </c>
      <c r="D58" s="8" t="s">
        <v>214</v>
      </c>
      <c r="G58" s="1"/>
      <c r="H58" s="9"/>
      <c r="I58" s="13" t="s">
        <v>61</v>
      </c>
      <c r="J58" s="16">
        <v>1547000</v>
      </c>
      <c r="K58" s="13" t="s">
        <v>61</v>
      </c>
      <c r="L58" t="s">
        <v>215</v>
      </c>
      <c r="M58" t="s">
        <v>61</v>
      </c>
      <c r="N58" t="s">
        <v>216</v>
      </c>
      <c r="O58" t="e">
        <f t="shared" ref="O58:O121" si="89">(N58-L58)/L58</f>
        <v>#VALUE!</v>
      </c>
      <c r="AG58">
        <f t="shared" si="1"/>
        <v>0</v>
      </c>
      <c r="AI58" t="e">
        <f t="shared" si="2"/>
        <v>#DIV/0!</v>
      </c>
      <c r="AK58" t="s">
        <v>61</v>
      </c>
      <c r="AL58" t="s">
        <v>215</v>
      </c>
      <c r="AO58" t="e">
        <f t="shared" si="88"/>
        <v>#VALUE!</v>
      </c>
      <c r="BB58" t="s">
        <v>61</v>
      </c>
      <c r="BC58">
        <v>182</v>
      </c>
    </row>
    <row r="59" hidden="1" spans="1:55">
      <c r="A59" s="1"/>
      <c r="B59" t="s">
        <v>217</v>
      </c>
      <c r="C59" t="s">
        <v>218</v>
      </c>
      <c r="D59" s="8" t="s">
        <v>214</v>
      </c>
      <c r="G59" s="1"/>
      <c r="H59" s="9"/>
      <c r="I59" s="13" t="s">
        <v>61</v>
      </c>
      <c r="J59" s="16">
        <v>57000</v>
      </c>
      <c r="K59" s="13" t="s">
        <v>61</v>
      </c>
      <c r="L59" t="s">
        <v>215</v>
      </c>
      <c r="M59" t="s">
        <v>61</v>
      </c>
      <c r="N59" t="s">
        <v>216</v>
      </c>
      <c r="O59" t="e">
        <f t="shared" si="89"/>
        <v>#VALUE!</v>
      </c>
      <c r="AG59">
        <f t="shared" si="1"/>
        <v>0</v>
      </c>
      <c r="AI59" t="e">
        <f t="shared" si="2"/>
        <v>#DIV/0!</v>
      </c>
      <c r="AK59" t="s">
        <v>61</v>
      </c>
      <c r="AL59" t="s">
        <v>215</v>
      </c>
      <c r="AO59" t="e">
        <f t="shared" si="88"/>
        <v>#VALUE!</v>
      </c>
      <c r="BB59" t="s">
        <v>61</v>
      </c>
      <c r="BC59">
        <v>182</v>
      </c>
    </row>
    <row r="60" hidden="1" spans="1:55">
      <c r="A60" s="1"/>
      <c r="B60" t="s">
        <v>219</v>
      </c>
      <c r="C60" t="s">
        <v>220</v>
      </c>
      <c r="D60" s="8" t="s">
        <v>214</v>
      </c>
      <c r="G60" s="1"/>
      <c r="H60" s="9"/>
      <c r="I60" s="13" t="s">
        <v>61</v>
      </c>
      <c r="J60" s="16">
        <v>57000</v>
      </c>
      <c r="K60" s="13" t="s">
        <v>61</v>
      </c>
      <c r="L60" t="s">
        <v>215</v>
      </c>
      <c r="M60" t="s">
        <v>61</v>
      </c>
      <c r="N60" t="s">
        <v>216</v>
      </c>
      <c r="O60" t="e">
        <f t="shared" si="89"/>
        <v>#VALUE!</v>
      </c>
      <c r="AG60">
        <f t="shared" si="1"/>
        <v>0</v>
      </c>
      <c r="AI60" t="e">
        <f t="shared" si="2"/>
        <v>#DIV/0!</v>
      </c>
      <c r="AK60" t="s">
        <v>61</v>
      </c>
      <c r="AL60" t="s">
        <v>215</v>
      </c>
      <c r="AO60" t="e">
        <f t="shared" si="88"/>
        <v>#VALUE!</v>
      </c>
      <c r="BB60" t="s">
        <v>61</v>
      </c>
      <c r="BC60">
        <v>182</v>
      </c>
    </row>
    <row r="61" hidden="1" spans="1:55">
      <c r="A61" s="1"/>
      <c r="B61" t="s">
        <v>221</v>
      </c>
      <c r="C61" t="s">
        <v>222</v>
      </c>
      <c r="D61" t="s">
        <v>223</v>
      </c>
      <c r="G61" s="1"/>
      <c r="H61" s="9"/>
      <c r="I61" s="13" t="s">
        <v>61</v>
      </c>
      <c r="J61" s="16">
        <v>57000</v>
      </c>
      <c r="L61" t="s">
        <v>224</v>
      </c>
      <c r="O61" t="e">
        <f t="shared" si="89"/>
        <v>#VALUE!</v>
      </c>
      <c r="AG61">
        <f t="shared" si="1"/>
        <v>0</v>
      </c>
      <c r="AI61" t="e">
        <f t="shared" si="2"/>
        <v>#DIV/0!</v>
      </c>
      <c r="AK61" t="s">
        <v>61</v>
      </c>
      <c r="AL61" t="s">
        <v>225</v>
      </c>
      <c r="AO61" t="e">
        <f t="shared" si="88"/>
        <v>#VALUE!</v>
      </c>
      <c r="BB61" t="s">
        <v>61</v>
      </c>
      <c r="BC61">
        <v>182</v>
      </c>
    </row>
    <row r="62" hidden="1" spans="1:55">
      <c r="A62" s="1"/>
      <c r="B62" t="s">
        <v>226</v>
      </c>
      <c r="C62" t="s">
        <v>227</v>
      </c>
      <c r="D62" s="1" t="s">
        <v>228</v>
      </c>
      <c r="G62" s="1"/>
      <c r="H62" s="9"/>
      <c r="I62" s="13" t="s">
        <v>61</v>
      </c>
      <c r="J62" s="16">
        <v>57000</v>
      </c>
      <c r="L62" t="s">
        <v>229</v>
      </c>
      <c r="O62" t="e">
        <f t="shared" si="89"/>
        <v>#VALUE!</v>
      </c>
      <c r="AG62">
        <f t="shared" si="1"/>
        <v>0</v>
      </c>
      <c r="AI62" t="e">
        <f t="shared" si="2"/>
        <v>#DIV/0!</v>
      </c>
      <c r="AK62" t="s">
        <v>61</v>
      </c>
      <c r="AL62" t="s">
        <v>230</v>
      </c>
      <c r="AO62" t="e">
        <f t="shared" si="88"/>
        <v>#VALUE!</v>
      </c>
      <c r="BB62" t="s">
        <v>61</v>
      </c>
      <c r="BC62">
        <v>182</v>
      </c>
    </row>
    <row r="63" hidden="1" spans="1:55">
      <c r="A63" s="1"/>
      <c r="B63" t="s">
        <v>231</v>
      </c>
      <c r="C63" t="s">
        <v>232</v>
      </c>
      <c r="D63" s="1" t="s">
        <v>228</v>
      </c>
      <c r="G63" s="1"/>
      <c r="H63" s="9"/>
      <c r="I63" s="13" t="s">
        <v>61</v>
      </c>
      <c r="J63" s="16">
        <v>57000</v>
      </c>
      <c r="L63" t="s">
        <v>229</v>
      </c>
      <c r="O63" t="e">
        <f t="shared" si="89"/>
        <v>#VALUE!</v>
      </c>
      <c r="AG63">
        <f t="shared" si="1"/>
        <v>0</v>
      </c>
      <c r="AI63" t="e">
        <f t="shared" si="2"/>
        <v>#DIV/0!</v>
      </c>
      <c r="AK63" t="s">
        <v>61</v>
      </c>
      <c r="AL63" t="s">
        <v>230</v>
      </c>
      <c r="AO63" t="e">
        <f t="shared" si="88"/>
        <v>#VALUE!</v>
      </c>
      <c r="BB63" t="s">
        <v>61</v>
      </c>
      <c r="BC63">
        <v>182</v>
      </c>
    </row>
    <row r="64" hidden="1" spans="1:87">
      <c r="A64" s="1"/>
      <c r="B64" t="s">
        <v>233</v>
      </c>
      <c r="C64" t="s">
        <v>234</v>
      </c>
      <c r="D64" s="1" t="s">
        <v>228</v>
      </c>
      <c r="G64" s="1"/>
      <c r="H64" s="9"/>
      <c r="I64" s="13" t="s">
        <v>61</v>
      </c>
      <c r="J64" s="16">
        <v>57000</v>
      </c>
      <c r="L64" t="s">
        <v>229</v>
      </c>
      <c r="O64" t="e">
        <f t="shared" si="89"/>
        <v>#VALUE!</v>
      </c>
      <c r="AG64">
        <f t="shared" si="1"/>
        <v>0</v>
      </c>
      <c r="AI64" t="e">
        <f t="shared" si="2"/>
        <v>#DIV/0!</v>
      </c>
      <c r="AK64" t="s">
        <v>61</v>
      </c>
      <c r="AL64" t="s">
        <v>230</v>
      </c>
      <c r="AO64" t="e">
        <f t="shared" si="88"/>
        <v>#VALUE!</v>
      </c>
      <c r="BB64" t="s">
        <v>61</v>
      </c>
      <c r="BC64">
        <v>182</v>
      </c>
      <c r="CI64">
        <v>0.54</v>
      </c>
    </row>
    <row r="65" hidden="1" spans="1:55">
      <c r="A65" s="1"/>
      <c r="B65" t="s">
        <v>235</v>
      </c>
      <c r="C65" t="s">
        <v>236</v>
      </c>
      <c r="D65" t="s">
        <v>237</v>
      </c>
      <c r="G65" s="1"/>
      <c r="H65" s="9"/>
      <c r="I65" s="13" t="s">
        <v>61</v>
      </c>
      <c r="J65" s="16">
        <v>57000</v>
      </c>
      <c r="K65" t="s">
        <v>61</v>
      </c>
      <c r="L65" t="s">
        <v>238</v>
      </c>
      <c r="O65" t="e">
        <f t="shared" si="89"/>
        <v>#VALUE!</v>
      </c>
      <c r="AG65">
        <f t="shared" si="1"/>
        <v>0</v>
      </c>
      <c r="AI65" t="e">
        <f t="shared" si="2"/>
        <v>#DIV/0!</v>
      </c>
      <c r="AK65" t="s">
        <v>61</v>
      </c>
      <c r="AL65" t="s">
        <v>239</v>
      </c>
      <c r="AO65" t="e">
        <f t="shared" si="88"/>
        <v>#VALUE!</v>
      </c>
      <c r="BB65" t="s">
        <v>61</v>
      </c>
      <c r="BC65">
        <v>182</v>
      </c>
    </row>
    <row r="66" hidden="1" spans="1:87">
      <c r="A66" s="1"/>
      <c r="B66" s="3" t="s">
        <v>240</v>
      </c>
      <c r="C66" s="3" t="s">
        <v>240</v>
      </c>
      <c r="D66" s="3" t="s">
        <v>240</v>
      </c>
      <c r="E66" s="3"/>
      <c r="F66" s="12">
        <v>0.014</v>
      </c>
      <c r="G66" s="1"/>
      <c r="H66" s="9"/>
      <c r="I66" s="13" t="s">
        <v>61</v>
      </c>
      <c r="J66" s="16">
        <v>57000</v>
      </c>
      <c r="K66" s="3" t="s">
        <v>61</v>
      </c>
      <c r="L66" s="3">
        <v>2534</v>
      </c>
      <c r="M66" s="3" t="s">
        <v>61</v>
      </c>
      <c r="N66" s="3" t="s">
        <v>241</v>
      </c>
      <c r="O66" t="e">
        <f t="shared" si="89"/>
        <v>#VALUE!</v>
      </c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>
        <f t="shared" ref="AG66:AG129" si="90">(W66+Y66+AA66+AC66+AE66)/5</f>
        <v>0</v>
      </c>
      <c r="AI66" t="e">
        <f t="shared" ref="AI66:AI129" si="91">STDEVPA(W66,Y66,AA66,AC66,AE66)</f>
        <v>#DIV/0!</v>
      </c>
      <c r="AJ66" s="3"/>
      <c r="AK66" s="3" t="s">
        <v>61</v>
      </c>
      <c r="AL66" s="3">
        <v>22480</v>
      </c>
      <c r="AM66" s="3"/>
      <c r="AN66" s="3"/>
      <c r="AO66" t="e">
        <f t="shared" si="88"/>
        <v>#DIV/0!</v>
      </c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</row>
    <row r="67" hidden="1" spans="1:55">
      <c r="A67" s="1"/>
      <c r="B67" t="s">
        <v>242</v>
      </c>
      <c r="C67" t="s">
        <v>243</v>
      </c>
      <c r="D67" s="8" t="s">
        <v>244</v>
      </c>
      <c r="G67" s="1"/>
      <c r="H67" s="9"/>
      <c r="I67" s="13" t="s">
        <v>61</v>
      </c>
      <c r="J67" s="16">
        <v>1547000</v>
      </c>
      <c r="K67" s="13" t="s">
        <v>78</v>
      </c>
      <c r="L67">
        <v>4816</v>
      </c>
      <c r="M67" t="s">
        <v>78</v>
      </c>
      <c r="N67">
        <v>6841</v>
      </c>
      <c r="O67">
        <f t="shared" si="89"/>
        <v>0.42047342192691</v>
      </c>
      <c r="AG67">
        <f t="shared" si="90"/>
        <v>0</v>
      </c>
      <c r="AI67" t="e">
        <f t="shared" si="91"/>
        <v>#DIV/0!</v>
      </c>
      <c r="AK67" t="s">
        <v>61</v>
      </c>
      <c r="AL67">
        <v>7282</v>
      </c>
      <c r="AO67" t="e">
        <f t="shared" si="88"/>
        <v>#DIV/0!</v>
      </c>
      <c r="BB67" t="s">
        <v>61</v>
      </c>
      <c r="BC67">
        <v>182</v>
      </c>
    </row>
    <row r="68" hidden="1" spans="1:87">
      <c r="A68" s="1"/>
      <c r="B68" t="s">
        <v>245</v>
      </c>
      <c r="C68" t="s">
        <v>245</v>
      </c>
      <c r="D68" s="8" t="s">
        <v>246</v>
      </c>
      <c r="G68" s="1"/>
      <c r="H68" s="9"/>
      <c r="I68" s="13" t="s">
        <v>61</v>
      </c>
      <c r="J68" s="16">
        <v>57000</v>
      </c>
      <c r="K68" s="13" t="s">
        <v>78</v>
      </c>
      <c r="L68" t="s">
        <v>247</v>
      </c>
      <c r="M68" t="s">
        <v>61</v>
      </c>
      <c r="N68" t="s">
        <v>248</v>
      </c>
      <c r="O68" t="e">
        <f t="shared" si="89"/>
        <v>#VALUE!</v>
      </c>
      <c r="AG68">
        <f t="shared" si="90"/>
        <v>0</v>
      </c>
      <c r="AI68" t="e">
        <f t="shared" si="91"/>
        <v>#DIV/0!</v>
      </c>
      <c r="AK68" t="s">
        <v>61</v>
      </c>
      <c r="AL68" t="s">
        <v>249</v>
      </c>
      <c r="AO68" t="e">
        <f t="shared" si="88"/>
        <v>#VALUE!</v>
      </c>
      <c r="BB68" t="s">
        <v>61</v>
      </c>
      <c r="BC68">
        <v>182</v>
      </c>
      <c r="CI68">
        <v>0.54</v>
      </c>
    </row>
    <row r="69" hidden="1" spans="1:55">
      <c r="A69" s="1"/>
      <c r="B69" t="s">
        <v>250</v>
      </c>
      <c r="C69" t="s">
        <v>250</v>
      </c>
      <c r="D69" s="8" t="s">
        <v>246</v>
      </c>
      <c r="G69" s="1"/>
      <c r="H69" s="9"/>
      <c r="I69" s="13" t="s">
        <v>61</v>
      </c>
      <c r="J69" s="16">
        <v>57000</v>
      </c>
      <c r="K69" s="13" t="s">
        <v>78</v>
      </c>
      <c r="L69" t="s">
        <v>247</v>
      </c>
      <c r="M69" t="s">
        <v>61</v>
      </c>
      <c r="N69" t="s">
        <v>248</v>
      </c>
      <c r="O69" t="e">
        <f t="shared" si="89"/>
        <v>#VALUE!</v>
      </c>
      <c r="AG69">
        <f t="shared" si="90"/>
        <v>0</v>
      </c>
      <c r="AI69" t="e">
        <f t="shared" si="91"/>
        <v>#DIV/0!</v>
      </c>
      <c r="AK69" t="s">
        <v>61</v>
      </c>
      <c r="AL69" t="s">
        <v>249</v>
      </c>
      <c r="AO69" t="e">
        <f t="shared" si="88"/>
        <v>#VALUE!</v>
      </c>
      <c r="BB69" t="s">
        <v>61</v>
      </c>
      <c r="BC69">
        <v>182</v>
      </c>
    </row>
    <row r="70" hidden="1" spans="1:55">
      <c r="A70" s="1"/>
      <c r="B70" t="s">
        <v>251</v>
      </c>
      <c r="C70" t="s">
        <v>252</v>
      </c>
      <c r="D70" s="8" t="s">
        <v>253</v>
      </c>
      <c r="G70" s="1"/>
      <c r="H70" s="9"/>
      <c r="I70" s="13" t="s">
        <v>61</v>
      </c>
      <c r="J70" s="16">
        <v>1547000</v>
      </c>
      <c r="K70" s="13" t="s">
        <v>61</v>
      </c>
      <c r="L70" t="s">
        <v>254</v>
      </c>
      <c r="M70" t="s">
        <v>61</v>
      </c>
      <c r="N70" t="s">
        <v>255</v>
      </c>
      <c r="O70" t="e">
        <f t="shared" si="89"/>
        <v>#VALUE!</v>
      </c>
      <c r="AG70">
        <f t="shared" si="90"/>
        <v>0</v>
      </c>
      <c r="AI70" t="e">
        <f t="shared" si="91"/>
        <v>#DIV/0!</v>
      </c>
      <c r="AK70" t="s">
        <v>61</v>
      </c>
      <c r="AL70" t="s">
        <v>256</v>
      </c>
      <c r="AO70" t="e">
        <f t="shared" si="88"/>
        <v>#VALUE!</v>
      </c>
      <c r="BB70" t="s">
        <v>61</v>
      </c>
      <c r="BC70">
        <v>182</v>
      </c>
    </row>
    <row r="71" hidden="1" spans="1:55">
      <c r="A71" s="1"/>
      <c r="B71" t="s">
        <v>257</v>
      </c>
      <c r="C71" t="s">
        <v>258</v>
      </c>
      <c r="D71" s="8" t="s">
        <v>253</v>
      </c>
      <c r="G71" s="1"/>
      <c r="H71" s="9"/>
      <c r="I71" s="13" t="s">
        <v>61</v>
      </c>
      <c r="J71" s="16">
        <v>57000</v>
      </c>
      <c r="K71" s="13" t="s">
        <v>61</v>
      </c>
      <c r="L71" t="s">
        <v>254</v>
      </c>
      <c r="M71" t="s">
        <v>61</v>
      </c>
      <c r="N71" t="s">
        <v>255</v>
      </c>
      <c r="O71" t="e">
        <f t="shared" si="89"/>
        <v>#VALUE!</v>
      </c>
      <c r="AG71">
        <f t="shared" si="90"/>
        <v>0</v>
      </c>
      <c r="AI71" t="e">
        <f t="shared" si="91"/>
        <v>#DIV/0!</v>
      </c>
      <c r="AK71" t="s">
        <v>61</v>
      </c>
      <c r="AL71" t="s">
        <v>256</v>
      </c>
      <c r="AO71" t="e">
        <f t="shared" si="88"/>
        <v>#VALUE!</v>
      </c>
      <c r="BB71" t="s">
        <v>61</v>
      </c>
      <c r="BC71">
        <v>182</v>
      </c>
    </row>
    <row r="72" hidden="1" spans="1:55">
      <c r="A72" s="1"/>
      <c r="B72" t="s">
        <v>259</v>
      </c>
      <c r="C72" t="s">
        <v>260</v>
      </c>
      <c r="D72" t="s">
        <v>261</v>
      </c>
      <c r="G72" s="1"/>
      <c r="H72" s="9"/>
      <c r="I72" s="13" t="s">
        <v>61</v>
      </c>
      <c r="J72" s="16">
        <v>57000</v>
      </c>
      <c r="K72" s="13" t="s">
        <v>134</v>
      </c>
      <c r="L72">
        <v>108</v>
      </c>
      <c r="M72" s="13" t="s">
        <v>134</v>
      </c>
      <c r="N72" t="s">
        <v>262</v>
      </c>
      <c r="O72" t="e">
        <f t="shared" si="89"/>
        <v>#VALUE!</v>
      </c>
      <c r="AG72">
        <f t="shared" si="90"/>
        <v>0</v>
      </c>
      <c r="AI72" t="e">
        <f t="shared" si="91"/>
        <v>#DIV/0!</v>
      </c>
      <c r="AK72" s="13" t="s">
        <v>134</v>
      </c>
      <c r="AL72">
        <v>108</v>
      </c>
      <c r="AO72" t="e">
        <f t="shared" si="88"/>
        <v>#DIV/0!</v>
      </c>
      <c r="BB72" t="s">
        <v>61</v>
      </c>
      <c r="BC72">
        <v>182</v>
      </c>
    </row>
    <row r="73" hidden="1" spans="1:55">
      <c r="A73" s="1"/>
      <c r="B73" t="s">
        <v>263</v>
      </c>
      <c r="C73" t="s">
        <v>264</v>
      </c>
      <c r="D73" t="s">
        <v>265</v>
      </c>
      <c r="G73" s="1"/>
      <c r="H73" s="9"/>
      <c r="I73" s="13" t="s">
        <v>61</v>
      </c>
      <c r="J73" s="16">
        <v>57000</v>
      </c>
      <c r="L73" t="s">
        <v>266</v>
      </c>
      <c r="O73" t="e">
        <f t="shared" si="89"/>
        <v>#VALUE!</v>
      </c>
      <c r="AG73">
        <f t="shared" si="90"/>
        <v>0</v>
      </c>
      <c r="AI73" t="e">
        <f t="shared" si="91"/>
        <v>#DIV/0!</v>
      </c>
      <c r="AK73" t="s">
        <v>61</v>
      </c>
      <c r="AL73" t="s">
        <v>267</v>
      </c>
      <c r="AO73" t="e">
        <f t="shared" si="88"/>
        <v>#VALUE!</v>
      </c>
      <c r="BB73" t="s">
        <v>61</v>
      </c>
      <c r="BC73">
        <v>182</v>
      </c>
    </row>
    <row r="74" hidden="1" spans="1:55">
      <c r="A74" s="1"/>
      <c r="B74" t="s">
        <v>268</v>
      </c>
      <c r="C74" t="s">
        <v>269</v>
      </c>
      <c r="D74" t="s">
        <v>265</v>
      </c>
      <c r="G74" s="1"/>
      <c r="H74" s="9"/>
      <c r="I74" s="13" t="s">
        <v>61</v>
      </c>
      <c r="J74" s="16">
        <v>57000</v>
      </c>
      <c r="L74" t="s">
        <v>266</v>
      </c>
      <c r="O74" t="e">
        <f t="shared" si="89"/>
        <v>#VALUE!</v>
      </c>
      <c r="AG74">
        <f t="shared" si="90"/>
        <v>0</v>
      </c>
      <c r="AI74" t="e">
        <f t="shared" si="91"/>
        <v>#DIV/0!</v>
      </c>
      <c r="AK74" t="s">
        <v>61</v>
      </c>
      <c r="AL74" t="s">
        <v>267</v>
      </c>
      <c r="AO74" t="e">
        <f t="shared" si="88"/>
        <v>#VALUE!</v>
      </c>
      <c r="BB74" t="s">
        <v>61</v>
      </c>
      <c r="BC74">
        <v>182</v>
      </c>
    </row>
    <row r="75" hidden="1" spans="1:55">
      <c r="A75" s="1"/>
      <c r="B75" t="s">
        <v>270</v>
      </c>
      <c r="C75" t="s">
        <v>270</v>
      </c>
      <c r="D75" t="s">
        <v>271</v>
      </c>
      <c r="G75" s="1"/>
      <c r="H75" s="9"/>
      <c r="I75" s="13" t="s">
        <v>61</v>
      </c>
      <c r="J75" s="16">
        <v>57000</v>
      </c>
      <c r="K75" t="s">
        <v>61</v>
      </c>
      <c r="L75" t="s">
        <v>272</v>
      </c>
      <c r="O75" t="e">
        <f t="shared" si="89"/>
        <v>#VALUE!</v>
      </c>
      <c r="AG75">
        <f t="shared" si="90"/>
        <v>0</v>
      </c>
      <c r="AI75" t="e">
        <f t="shared" si="91"/>
        <v>#DIV/0!</v>
      </c>
      <c r="AK75" t="s">
        <v>61</v>
      </c>
      <c r="AL75" t="s">
        <v>273</v>
      </c>
      <c r="AM75" s="35"/>
      <c r="AO75" t="e">
        <f t="shared" si="88"/>
        <v>#VALUE!</v>
      </c>
      <c r="BB75" t="s">
        <v>61</v>
      </c>
      <c r="BC75">
        <v>182</v>
      </c>
    </row>
    <row r="76" hidden="1" spans="1:87">
      <c r="A76" s="1"/>
      <c r="B76" s="7" t="s">
        <v>274</v>
      </c>
      <c r="C76" s="7" t="s">
        <v>274</v>
      </c>
      <c r="D76" s="3" t="s">
        <v>275</v>
      </c>
      <c r="E76" s="34">
        <v>0.08</v>
      </c>
      <c r="F76" s="3"/>
      <c r="G76" s="1"/>
      <c r="H76" s="9"/>
      <c r="I76" s="13" t="s">
        <v>61</v>
      </c>
      <c r="J76" s="16">
        <v>1547000</v>
      </c>
      <c r="K76" s="3"/>
      <c r="L76" s="3"/>
      <c r="M76" s="3"/>
      <c r="N76" s="3"/>
      <c r="O76" t="e">
        <f t="shared" si="89"/>
        <v>#DIV/0!</v>
      </c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>
        <f t="shared" si="90"/>
        <v>0</v>
      </c>
      <c r="AI76" t="e">
        <f t="shared" si="91"/>
        <v>#DIV/0!</v>
      </c>
      <c r="AJ76" s="3"/>
      <c r="AK76" s="3"/>
      <c r="AL76" s="3"/>
      <c r="AM76" s="3"/>
      <c r="AN76" s="3"/>
      <c r="AO76" t="e">
        <f t="shared" si="88"/>
        <v>#DIV/0!</v>
      </c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</row>
    <row r="77" hidden="1" spans="1:87">
      <c r="A77" s="1"/>
      <c r="B77" s="7" t="s">
        <v>276</v>
      </c>
      <c r="C77" s="7" t="s">
        <v>276</v>
      </c>
      <c r="D77" s="3" t="s">
        <v>275</v>
      </c>
      <c r="E77" s="34">
        <v>0.87</v>
      </c>
      <c r="F77" s="12">
        <v>0.005</v>
      </c>
      <c r="G77" s="1"/>
      <c r="H77" s="9"/>
      <c r="I77" s="13" t="s">
        <v>61</v>
      </c>
      <c r="J77" s="16">
        <v>1547000</v>
      </c>
      <c r="K77" s="3"/>
      <c r="M77" s="3"/>
      <c r="N77" s="3"/>
      <c r="O77" t="e">
        <f t="shared" si="89"/>
        <v>#DIV/0!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>
        <f t="shared" si="90"/>
        <v>0</v>
      </c>
      <c r="AI77" t="e">
        <f t="shared" si="91"/>
        <v>#DIV/0!</v>
      </c>
      <c r="AJ77" s="3"/>
      <c r="AK77" s="3"/>
      <c r="AL77" s="3"/>
      <c r="AM77" s="3"/>
      <c r="AN77" s="3"/>
      <c r="AO77" t="e">
        <f t="shared" si="88"/>
        <v>#DIV/0!</v>
      </c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</row>
    <row r="78" hidden="1" spans="1:87">
      <c r="A78" s="1"/>
      <c r="B78" t="s">
        <v>277</v>
      </c>
      <c r="C78" t="s">
        <v>278</v>
      </c>
      <c r="D78" t="s">
        <v>279</v>
      </c>
      <c r="G78" s="1"/>
      <c r="H78" s="9"/>
      <c r="I78" s="13" t="s">
        <v>61</v>
      </c>
      <c r="J78" s="16">
        <v>57000</v>
      </c>
      <c r="K78" s="13" t="s">
        <v>61</v>
      </c>
      <c r="L78" t="s">
        <v>272</v>
      </c>
      <c r="M78" s="13" t="s">
        <v>78</v>
      </c>
      <c r="O78" t="e">
        <f t="shared" si="89"/>
        <v>#VALUE!</v>
      </c>
      <c r="AG78">
        <f t="shared" si="90"/>
        <v>0</v>
      </c>
      <c r="AI78" t="e">
        <f t="shared" si="91"/>
        <v>#DIV/0!</v>
      </c>
      <c r="AK78" t="s">
        <v>61</v>
      </c>
      <c r="AL78" t="s">
        <v>280</v>
      </c>
      <c r="AO78" t="e">
        <f t="shared" si="88"/>
        <v>#VALUE!</v>
      </c>
      <c r="BB78" t="s">
        <v>61</v>
      </c>
      <c r="BC78">
        <v>182</v>
      </c>
      <c r="CI78">
        <v>0.63</v>
      </c>
    </row>
    <row r="79" hidden="1" spans="1:55">
      <c r="A79" s="1"/>
      <c r="B79" t="s">
        <v>281</v>
      </c>
      <c r="C79" t="s">
        <v>281</v>
      </c>
      <c r="D79" t="s">
        <v>282</v>
      </c>
      <c r="G79" s="1"/>
      <c r="H79" s="9"/>
      <c r="I79" s="13" t="s">
        <v>61</v>
      </c>
      <c r="J79" s="16">
        <v>57000</v>
      </c>
      <c r="L79" t="s">
        <v>283</v>
      </c>
      <c r="O79" t="e">
        <f t="shared" si="89"/>
        <v>#VALUE!</v>
      </c>
      <c r="AG79">
        <f t="shared" si="90"/>
        <v>0</v>
      </c>
      <c r="AI79" t="e">
        <f t="shared" si="91"/>
        <v>#DIV/0!</v>
      </c>
      <c r="AK79" t="s">
        <v>61</v>
      </c>
      <c r="AL79" t="s">
        <v>284</v>
      </c>
      <c r="AO79" t="e">
        <f t="shared" si="88"/>
        <v>#VALUE!</v>
      </c>
      <c r="BB79" t="s">
        <v>61</v>
      </c>
      <c r="BC79">
        <v>182</v>
      </c>
    </row>
    <row r="80" hidden="1" spans="1:55">
      <c r="A80" s="1"/>
      <c r="B80" t="s">
        <v>285</v>
      </c>
      <c r="C80" t="s">
        <v>286</v>
      </c>
      <c r="D80" t="s">
        <v>287</v>
      </c>
      <c r="G80" s="1"/>
      <c r="H80" s="9"/>
      <c r="I80" s="13" t="s">
        <v>61</v>
      </c>
      <c r="J80" s="16">
        <v>57000</v>
      </c>
      <c r="L80" t="s">
        <v>288</v>
      </c>
      <c r="O80" t="e">
        <f t="shared" si="89"/>
        <v>#VALUE!</v>
      </c>
      <c r="AG80">
        <f t="shared" si="90"/>
        <v>0</v>
      </c>
      <c r="AI80" t="e">
        <f t="shared" si="91"/>
        <v>#DIV/0!</v>
      </c>
      <c r="AK80" t="s">
        <v>61</v>
      </c>
      <c r="AL80" t="s">
        <v>289</v>
      </c>
      <c r="AO80" t="e">
        <f t="shared" si="88"/>
        <v>#VALUE!</v>
      </c>
      <c r="BB80" t="s">
        <v>61</v>
      </c>
      <c r="BC80">
        <v>182</v>
      </c>
    </row>
    <row r="81" hidden="1" spans="1:55">
      <c r="A81" s="1"/>
      <c r="B81" t="s">
        <v>290</v>
      </c>
      <c r="C81" t="s">
        <v>291</v>
      </c>
      <c r="D81" t="s">
        <v>287</v>
      </c>
      <c r="G81" s="1"/>
      <c r="H81" s="9"/>
      <c r="I81" s="13" t="s">
        <v>61</v>
      </c>
      <c r="J81" s="16">
        <v>57000</v>
      </c>
      <c r="L81" t="s">
        <v>288</v>
      </c>
      <c r="O81" t="e">
        <f t="shared" si="89"/>
        <v>#VALUE!</v>
      </c>
      <c r="AG81">
        <f t="shared" si="90"/>
        <v>0</v>
      </c>
      <c r="AI81" t="e">
        <f t="shared" si="91"/>
        <v>#DIV/0!</v>
      </c>
      <c r="AK81" t="s">
        <v>61</v>
      </c>
      <c r="AL81" t="s">
        <v>289</v>
      </c>
      <c r="AO81" t="e">
        <f t="shared" si="88"/>
        <v>#VALUE!</v>
      </c>
      <c r="BB81" t="s">
        <v>61</v>
      </c>
      <c r="BC81">
        <v>182</v>
      </c>
    </row>
    <row r="82" hidden="1" spans="1:55">
      <c r="A82" s="1"/>
      <c r="B82" t="s">
        <v>292</v>
      </c>
      <c r="C82" t="s">
        <v>293</v>
      </c>
      <c r="D82" t="s">
        <v>287</v>
      </c>
      <c r="G82" s="1"/>
      <c r="H82" s="9"/>
      <c r="I82" s="13" t="s">
        <v>61</v>
      </c>
      <c r="J82" s="16">
        <v>57000</v>
      </c>
      <c r="L82" t="s">
        <v>288</v>
      </c>
      <c r="O82" t="e">
        <f t="shared" si="89"/>
        <v>#VALUE!</v>
      </c>
      <c r="AG82">
        <f t="shared" si="90"/>
        <v>0</v>
      </c>
      <c r="AI82" t="e">
        <f t="shared" si="91"/>
        <v>#DIV/0!</v>
      </c>
      <c r="AK82" t="s">
        <v>61</v>
      </c>
      <c r="AL82" t="s">
        <v>289</v>
      </c>
      <c r="AO82" t="e">
        <f t="shared" si="88"/>
        <v>#VALUE!</v>
      </c>
      <c r="BB82" t="s">
        <v>61</v>
      </c>
      <c r="BC82">
        <v>182</v>
      </c>
    </row>
    <row r="83" hidden="1" spans="1:55">
      <c r="A83" s="1"/>
      <c r="B83" t="s">
        <v>294</v>
      </c>
      <c r="C83" t="s">
        <v>295</v>
      </c>
      <c r="D83" t="s">
        <v>287</v>
      </c>
      <c r="G83" s="1"/>
      <c r="H83" s="9"/>
      <c r="I83" s="13" t="s">
        <v>61</v>
      </c>
      <c r="J83" s="16">
        <v>57000</v>
      </c>
      <c r="L83" t="s">
        <v>288</v>
      </c>
      <c r="O83" t="e">
        <f t="shared" si="89"/>
        <v>#VALUE!</v>
      </c>
      <c r="AG83">
        <f t="shared" si="90"/>
        <v>0</v>
      </c>
      <c r="AI83" t="e">
        <f t="shared" si="91"/>
        <v>#DIV/0!</v>
      </c>
      <c r="AK83" t="s">
        <v>61</v>
      </c>
      <c r="AL83" t="s">
        <v>289</v>
      </c>
      <c r="AO83" t="e">
        <f t="shared" si="88"/>
        <v>#VALUE!</v>
      </c>
      <c r="BB83" t="s">
        <v>61</v>
      </c>
      <c r="BC83">
        <v>182</v>
      </c>
    </row>
    <row r="84" hidden="1" spans="1:55">
      <c r="A84" s="1"/>
      <c r="B84" t="s">
        <v>296</v>
      </c>
      <c r="C84" t="s">
        <v>297</v>
      </c>
      <c r="D84" t="s">
        <v>287</v>
      </c>
      <c r="G84" s="1"/>
      <c r="H84" s="9"/>
      <c r="I84" s="13" t="s">
        <v>61</v>
      </c>
      <c r="J84" s="16">
        <v>57000</v>
      </c>
      <c r="L84" t="s">
        <v>288</v>
      </c>
      <c r="O84" t="e">
        <f t="shared" si="89"/>
        <v>#VALUE!</v>
      </c>
      <c r="AG84">
        <f t="shared" si="90"/>
        <v>0</v>
      </c>
      <c r="AI84" t="e">
        <f t="shared" si="91"/>
        <v>#DIV/0!</v>
      </c>
      <c r="AK84" t="s">
        <v>61</v>
      </c>
      <c r="AL84" t="s">
        <v>289</v>
      </c>
      <c r="AO84" t="e">
        <f t="shared" si="88"/>
        <v>#VALUE!</v>
      </c>
      <c r="BB84" t="s">
        <v>61</v>
      </c>
      <c r="BC84">
        <v>182</v>
      </c>
    </row>
    <row r="85" hidden="1" spans="1:55">
      <c r="A85" s="1"/>
      <c r="B85" t="s">
        <v>298</v>
      </c>
      <c r="C85" t="s">
        <v>299</v>
      </c>
      <c r="D85" s="8" t="s">
        <v>300</v>
      </c>
      <c r="G85" s="1"/>
      <c r="H85" s="9"/>
      <c r="I85" s="13" t="s">
        <v>61</v>
      </c>
      <c r="J85" s="16">
        <v>57000</v>
      </c>
      <c r="K85" s="13" t="s">
        <v>78</v>
      </c>
      <c r="L85">
        <v>1318</v>
      </c>
      <c r="M85" t="s">
        <v>78</v>
      </c>
      <c r="N85" t="s">
        <v>301</v>
      </c>
      <c r="O85" t="e">
        <f t="shared" si="89"/>
        <v>#VALUE!</v>
      </c>
      <c r="AG85">
        <f t="shared" si="90"/>
        <v>0</v>
      </c>
      <c r="AI85" t="e">
        <f t="shared" si="91"/>
        <v>#DIV/0!</v>
      </c>
      <c r="AK85" t="s">
        <v>78</v>
      </c>
      <c r="AL85">
        <v>1318</v>
      </c>
      <c r="AO85" t="e">
        <f t="shared" si="88"/>
        <v>#DIV/0!</v>
      </c>
      <c r="BB85" t="s">
        <v>61</v>
      </c>
      <c r="BC85">
        <v>182</v>
      </c>
    </row>
    <row r="86" hidden="1" spans="1:88">
      <c r="A86" s="1"/>
      <c r="B86" s="3" t="s">
        <v>302</v>
      </c>
      <c r="C86" s="3" t="s">
        <v>303</v>
      </c>
      <c r="D86" s="3" t="s">
        <v>303</v>
      </c>
      <c r="E86" s="3"/>
      <c r="F86" s="12">
        <v>0.028</v>
      </c>
      <c r="G86" s="1"/>
      <c r="H86" s="9"/>
      <c r="I86" s="13" t="s">
        <v>61</v>
      </c>
      <c r="J86" s="16">
        <v>57000</v>
      </c>
      <c r="K86" s="3" t="s">
        <v>61</v>
      </c>
      <c r="L86" s="3" t="s">
        <v>304</v>
      </c>
      <c r="M86" s="3" t="s">
        <v>61</v>
      </c>
      <c r="N86" s="3" t="s">
        <v>305</v>
      </c>
      <c r="O86" t="e">
        <f t="shared" si="89"/>
        <v>#VALUE!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>
        <f t="shared" si="90"/>
        <v>0</v>
      </c>
      <c r="AI86" t="e">
        <f t="shared" si="91"/>
        <v>#DIV/0!</v>
      </c>
      <c r="AJ86" s="3"/>
      <c r="AK86" s="3" t="s">
        <v>61</v>
      </c>
      <c r="AL86" s="3">
        <v>38500</v>
      </c>
      <c r="AM86" s="3"/>
      <c r="AN86" s="3"/>
      <c r="AO86" t="e">
        <f t="shared" si="88"/>
        <v>#DIV/0!</v>
      </c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3">
        <v>0.8971</v>
      </c>
    </row>
    <row r="87" hidden="1" spans="1:55">
      <c r="A87" s="1"/>
      <c r="B87" t="s">
        <v>306</v>
      </c>
      <c r="C87" t="s">
        <v>307</v>
      </c>
      <c r="D87" t="s">
        <v>308</v>
      </c>
      <c r="G87" s="1"/>
      <c r="H87" s="9"/>
      <c r="I87" s="13" t="s">
        <v>61</v>
      </c>
      <c r="J87" s="16">
        <v>1547000</v>
      </c>
      <c r="K87" t="s">
        <v>61</v>
      </c>
      <c r="L87" t="s">
        <v>309</v>
      </c>
      <c r="O87" t="e">
        <f t="shared" si="89"/>
        <v>#VALUE!</v>
      </c>
      <c r="AG87">
        <f t="shared" si="90"/>
        <v>0</v>
      </c>
      <c r="AI87" t="e">
        <f t="shared" si="91"/>
        <v>#DIV/0!</v>
      </c>
      <c r="AK87" t="s">
        <v>61</v>
      </c>
      <c r="AL87" t="s">
        <v>310</v>
      </c>
      <c r="AO87" t="e">
        <f t="shared" si="88"/>
        <v>#VALUE!</v>
      </c>
      <c r="BB87" t="s">
        <v>61</v>
      </c>
      <c r="BC87">
        <v>182</v>
      </c>
    </row>
    <row r="88" hidden="1" spans="1:55">
      <c r="A88" s="1"/>
      <c r="B88" t="s">
        <v>311</v>
      </c>
      <c r="C88" t="s">
        <v>312</v>
      </c>
      <c r="D88" t="s">
        <v>308</v>
      </c>
      <c r="G88" s="1"/>
      <c r="H88" s="9"/>
      <c r="I88" s="13" t="s">
        <v>61</v>
      </c>
      <c r="J88" s="16">
        <v>57000</v>
      </c>
      <c r="K88" t="s">
        <v>61</v>
      </c>
      <c r="L88" t="s">
        <v>309</v>
      </c>
      <c r="O88" t="e">
        <f t="shared" si="89"/>
        <v>#VALUE!</v>
      </c>
      <c r="AG88">
        <f t="shared" si="90"/>
        <v>0</v>
      </c>
      <c r="AI88" t="e">
        <f t="shared" si="91"/>
        <v>#DIV/0!</v>
      </c>
      <c r="AK88" t="s">
        <v>61</v>
      </c>
      <c r="AL88" t="s">
        <v>310</v>
      </c>
      <c r="AO88" t="e">
        <f t="shared" si="88"/>
        <v>#VALUE!</v>
      </c>
      <c r="BB88" t="s">
        <v>61</v>
      </c>
      <c r="BC88">
        <v>182</v>
      </c>
    </row>
    <row r="89" hidden="1" spans="1:55">
      <c r="A89" s="1"/>
      <c r="B89" t="s">
        <v>313</v>
      </c>
      <c r="C89" t="s">
        <v>314</v>
      </c>
      <c r="D89" t="s">
        <v>308</v>
      </c>
      <c r="G89" s="1"/>
      <c r="H89" s="9"/>
      <c r="I89" s="13" t="s">
        <v>61</v>
      </c>
      <c r="J89" s="16">
        <v>57000</v>
      </c>
      <c r="K89" t="s">
        <v>61</v>
      </c>
      <c r="L89" t="s">
        <v>309</v>
      </c>
      <c r="O89" t="e">
        <f t="shared" si="89"/>
        <v>#VALUE!</v>
      </c>
      <c r="AG89">
        <f t="shared" si="90"/>
        <v>0</v>
      </c>
      <c r="AI89" t="e">
        <f t="shared" si="91"/>
        <v>#DIV/0!</v>
      </c>
      <c r="AK89" t="s">
        <v>61</v>
      </c>
      <c r="AL89" t="s">
        <v>310</v>
      </c>
      <c r="AO89" t="e">
        <f t="shared" si="88"/>
        <v>#VALUE!</v>
      </c>
      <c r="BB89" t="s">
        <v>61</v>
      </c>
      <c r="BC89">
        <v>182</v>
      </c>
    </row>
    <row r="90" hidden="1" spans="1:55">
      <c r="A90" s="1"/>
      <c r="B90" t="s">
        <v>315</v>
      </c>
      <c r="C90" t="s">
        <v>316</v>
      </c>
      <c r="D90" t="s">
        <v>308</v>
      </c>
      <c r="G90" s="1"/>
      <c r="H90" s="9"/>
      <c r="I90" s="13" t="s">
        <v>61</v>
      </c>
      <c r="J90" s="16">
        <v>57000</v>
      </c>
      <c r="K90" t="s">
        <v>61</v>
      </c>
      <c r="L90" t="s">
        <v>309</v>
      </c>
      <c r="O90" t="e">
        <f t="shared" si="89"/>
        <v>#VALUE!</v>
      </c>
      <c r="AG90">
        <f t="shared" si="90"/>
        <v>0</v>
      </c>
      <c r="AI90" t="e">
        <f t="shared" si="91"/>
        <v>#DIV/0!</v>
      </c>
      <c r="AK90" t="s">
        <v>61</v>
      </c>
      <c r="AL90" t="s">
        <v>310</v>
      </c>
      <c r="AO90" t="e">
        <f t="shared" si="88"/>
        <v>#VALUE!</v>
      </c>
      <c r="BB90" t="s">
        <v>61</v>
      </c>
      <c r="BC90">
        <v>182</v>
      </c>
    </row>
    <row r="91" hidden="1" spans="1:55">
      <c r="A91" s="1"/>
      <c r="B91" t="s">
        <v>317</v>
      </c>
      <c r="C91" t="s">
        <v>318</v>
      </c>
      <c r="D91" t="s">
        <v>319</v>
      </c>
      <c r="G91" s="1"/>
      <c r="H91" s="9"/>
      <c r="I91" s="13" t="s">
        <v>61</v>
      </c>
      <c r="J91" s="16">
        <v>57000</v>
      </c>
      <c r="K91" t="s">
        <v>61</v>
      </c>
      <c r="L91" t="s">
        <v>320</v>
      </c>
      <c r="O91" t="e">
        <f t="shared" si="89"/>
        <v>#VALUE!</v>
      </c>
      <c r="AG91">
        <f t="shared" si="90"/>
        <v>0</v>
      </c>
      <c r="AI91" t="e">
        <f t="shared" si="91"/>
        <v>#DIV/0!</v>
      </c>
      <c r="AK91" t="s">
        <v>61</v>
      </c>
      <c r="AL91" t="s">
        <v>321</v>
      </c>
      <c r="AO91" t="e">
        <f t="shared" si="88"/>
        <v>#VALUE!</v>
      </c>
      <c r="BB91" t="s">
        <v>61</v>
      </c>
      <c r="BC91">
        <v>182</v>
      </c>
    </row>
    <row r="92" hidden="1" spans="1:55">
      <c r="A92" s="1"/>
      <c r="B92" t="s">
        <v>322</v>
      </c>
      <c r="C92" t="s">
        <v>323</v>
      </c>
      <c r="D92" t="s">
        <v>319</v>
      </c>
      <c r="G92" s="1"/>
      <c r="H92" s="9"/>
      <c r="I92" s="13" t="s">
        <v>61</v>
      </c>
      <c r="J92" s="16">
        <v>57000</v>
      </c>
      <c r="K92" t="s">
        <v>61</v>
      </c>
      <c r="L92" t="s">
        <v>320</v>
      </c>
      <c r="O92" t="e">
        <f t="shared" si="89"/>
        <v>#VALUE!</v>
      </c>
      <c r="AG92">
        <f t="shared" si="90"/>
        <v>0</v>
      </c>
      <c r="AI92" t="e">
        <f t="shared" si="91"/>
        <v>#DIV/0!</v>
      </c>
      <c r="AK92" t="s">
        <v>61</v>
      </c>
      <c r="AL92" t="s">
        <v>321</v>
      </c>
      <c r="AO92" t="e">
        <f t="shared" si="88"/>
        <v>#VALUE!</v>
      </c>
      <c r="BB92" t="s">
        <v>61</v>
      </c>
      <c r="BC92">
        <v>182</v>
      </c>
    </row>
    <row r="93" hidden="1" spans="1:55">
      <c r="A93" s="1"/>
      <c r="B93" t="s">
        <v>324</v>
      </c>
      <c r="C93" t="s">
        <v>325</v>
      </c>
      <c r="D93" t="s">
        <v>319</v>
      </c>
      <c r="G93" s="1"/>
      <c r="H93" s="9"/>
      <c r="I93" s="13" t="s">
        <v>61</v>
      </c>
      <c r="J93" s="16">
        <v>57000</v>
      </c>
      <c r="K93" t="s">
        <v>61</v>
      </c>
      <c r="L93" t="s">
        <v>320</v>
      </c>
      <c r="O93" t="e">
        <f t="shared" si="89"/>
        <v>#VALUE!</v>
      </c>
      <c r="AG93">
        <f t="shared" si="90"/>
        <v>0</v>
      </c>
      <c r="AI93" t="e">
        <f t="shared" si="91"/>
        <v>#DIV/0!</v>
      </c>
      <c r="AK93" t="s">
        <v>61</v>
      </c>
      <c r="AL93" t="s">
        <v>321</v>
      </c>
      <c r="AO93" t="e">
        <f t="shared" si="88"/>
        <v>#VALUE!</v>
      </c>
      <c r="BB93" t="s">
        <v>61</v>
      </c>
      <c r="BC93">
        <v>182</v>
      </c>
    </row>
    <row r="94" hidden="1" spans="1:55">
      <c r="A94" s="1"/>
      <c r="B94" t="s">
        <v>326</v>
      </c>
      <c r="C94" t="s">
        <v>327</v>
      </c>
      <c r="D94" t="s">
        <v>319</v>
      </c>
      <c r="G94" s="1"/>
      <c r="H94" s="9"/>
      <c r="I94" s="13" t="s">
        <v>61</v>
      </c>
      <c r="J94" s="16">
        <v>57000</v>
      </c>
      <c r="K94" t="s">
        <v>61</v>
      </c>
      <c r="L94" t="s">
        <v>320</v>
      </c>
      <c r="O94" t="e">
        <f t="shared" si="89"/>
        <v>#VALUE!</v>
      </c>
      <c r="AG94">
        <f t="shared" si="90"/>
        <v>0</v>
      </c>
      <c r="AI94" t="e">
        <f t="shared" si="91"/>
        <v>#DIV/0!</v>
      </c>
      <c r="AK94" t="s">
        <v>61</v>
      </c>
      <c r="AL94" t="s">
        <v>321</v>
      </c>
      <c r="AO94" t="e">
        <f t="shared" si="88"/>
        <v>#VALUE!</v>
      </c>
      <c r="BB94" t="s">
        <v>61</v>
      </c>
      <c r="BC94">
        <v>182</v>
      </c>
    </row>
    <row r="95" hidden="1" spans="1:55">
      <c r="A95" s="1"/>
      <c r="B95" t="s">
        <v>328</v>
      </c>
      <c r="C95" t="s">
        <v>329</v>
      </c>
      <c r="D95" t="s">
        <v>330</v>
      </c>
      <c r="G95" s="1"/>
      <c r="H95" s="9"/>
      <c r="I95" s="13" t="s">
        <v>61</v>
      </c>
      <c r="J95" s="16">
        <v>57000</v>
      </c>
      <c r="K95" t="s">
        <v>61</v>
      </c>
      <c r="L95" t="s">
        <v>331</v>
      </c>
      <c r="O95" t="e">
        <f t="shared" si="89"/>
        <v>#VALUE!</v>
      </c>
      <c r="AG95">
        <f t="shared" si="90"/>
        <v>0</v>
      </c>
      <c r="AI95" t="e">
        <f t="shared" si="91"/>
        <v>#DIV/0!</v>
      </c>
      <c r="AK95" t="s">
        <v>61</v>
      </c>
      <c r="AL95" t="s">
        <v>332</v>
      </c>
      <c r="AO95" t="e">
        <f t="shared" ref="AO95:AO158" si="92">AL95/AN95</f>
        <v>#VALUE!</v>
      </c>
      <c r="BB95" t="s">
        <v>61</v>
      </c>
      <c r="BC95">
        <v>182</v>
      </c>
    </row>
    <row r="96" hidden="1" spans="1:55">
      <c r="A96" s="1"/>
      <c r="B96" t="s">
        <v>333</v>
      </c>
      <c r="C96" t="s">
        <v>334</v>
      </c>
      <c r="D96" s="8" t="s">
        <v>335</v>
      </c>
      <c r="G96" s="1"/>
      <c r="H96" s="9"/>
      <c r="I96" s="13" t="s">
        <v>61</v>
      </c>
      <c r="J96" s="16">
        <v>57000</v>
      </c>
      <c r="K96" s="13" t="s">
        <v>78</v>
      </c>
      <c r="L96" t="s">
        <v>336</v>
      </c>
      <c r="O96" t="e">
        <f t="shared" si="89"/>
        <v>#VALUE!</v>
      </c>
      <c r="AG96">
        <f t="shared" si="90"/>
        <v>0</v>
      </c>
      <c r="AI96" t="e">
        <f t="shared" si="91"/>
        <v>#DIV/0!</v>
      </c>
      <c r="AO96" t="e">
        <f t="shared" si="92"/>
        <v>#DIV/0!</v>
      </c>
      <c r="BB96" t="s">
        <v>61</v>
      </c>
      <c r="BC96">
        <v>182</v>
      </c>
    </row>
    <row r="97" hidden="1" spans="1:87">
      <c r="A97" s="1"/>
      <c r="B97" t="s">
        <v>337</v>
      </c>
      <c r="C97" t="s">
        <v>338</v>
      </c>
      <c r="D97" s="8" t="s">
        <v>335</v>
      </c>
      <c r="G97" s="1"/>
      <c r="H97" s="9"/>
      <c r="I97" s="13" t="s">
        <v>61</v>
      </c>
      <c r="J97" s="16">
        <v>57000</v>
      </c>
      <c r="K97" s="13" t="s">
        <v>78</v>
      </c>
      <c r="L97" t="s">
        <v>336</v>
      </c>
      <c r="O97" t="e">
        <f t="shared" si="89"/>
        <v>#VALUE!</v>
      </c>
      <c r="AG97">
        <f t="shared" si="90"/>
        <v>0</v>
      </c>
      <c r="AI97" t="e">
        <f t="shared" si="91"/>
        <v>#DIV/0!</v>
      </c>
      <c r="AO97" t="e">
        <f t="shared" si="92"/>
        <v>#DIV/0!</v>
      </c>
      <c r="BB97" t="s">
        <v>61</v>
      </c>
      <c r="BC97">
        <v>182</v>
      </c>
      <c r="CI97">
        <v>0.51</v>
      </c>
    </row>
    <row r="98" hidden="1" spans="1:55">
      <c r="A98" s="1"/>
      <c r="B98" t="s">
        <v>339</v>
      </c>
      <c r="C98" t="s">
        <v>340</v>
      </c>
      <c r="D98" t="s">
        <v>341</v>
      </c>
      <c r="G98" s="1"/>
      <c r="H98" s="9"/>
      <c r="I98" s="13" t="s">
        <v>61</v>
      </c>
      <c r="J98" s="16">
        <v>57000</v>
      </c>
      <c r="K98" s="13" t="s">
        <v>78</v>
      </c>
      <c r="L98" t="s">
        <v>342</v>
      </c>
      <c r="O98" t="e">
        <f t="shared" si="89"/>
        <v>#VALUE!</v>
      </c>
      <c r="AG98">
        <f t="shared" si="90"/>
        <v>0</v>
      </c>
      <c r="AI98" t="e">
        <f t="shared" si="91"/>
        <v>#DIV/0!</v>
      </c>
      <c r="AK98" s="13" t="s">
        <v>78</v>
      </c>
      <c r="AL98" t="s">
        <v>343</v>
      </c>
      <c r="AO98" t="e">
        <f t="shared" si="92"/>
        <v>#VALUE!</v>
      </c>
      <c r="BB98" t="s">
        <v>61</v>
      </c>
      <c r="BC98">
        <v>182</v>
      </c>
    </row>
    <row r="99" hidden="1" spans="1:55">
      <c r="A99" s="1"/>
      <c r="B99" t="s">
        <v>344</v>
      </c>
      <c r="C99" t="s">
        <v>345</v>
      </c>
      <c r="D99" t="s">
        <v>341</v>
      </c>
      <c r="G99" s="1"/>
      <c r="H99" s="9"/>
      <c r="I99" s="13" t="s">
        <v>61</v>
      </c>
      <c r="J99" s="16">
        <v>57000</v>
      </c>
      <c r="K99" s="13" t="s">
        <v>78</v>
      </c>
      <c r="L99" t="s">
        <v>342</v>
      </c>
      <c r="O99" t="e">
        <f t="shared" si="89"/>
        <v>#VALUE!</v>
      </c>
      <c r="AG99">
        <f t="shared" si="90"/>
        <v>0</v>
      </c>
      <c r="AI99" t="e">
        <f t="shared" si="91"/>
        <v>#DIV/0!</v>
      </c>
      <c r="AK99" s="13" t="s">
        <v>78</v>
      </c>
      <c r="AL99" t="s">
        <v>343</v>
      </c>
      <c r="AO99" t="e">
        <f t="shared" si="92"/>
        <v>#VALUE!</v>
      </c>
      <c r="BB99" t="s">
        <v>61</v>
      </c>
      <c r="BC99">
        <v>182</v>
      </c>
    </row>
    <row r="100" hidden="1" spans="1:55">
      <c r="A100" s="1"/>
      <c r="B100" t="s">
        <v>346</v>
      </c>
      <c r="C100" t="s">
        <v>347</v>
      </c>
      <c r="D100" t="s">
        <v>341</v>
      </c>
      <c r="G100" s="1"/>
      <c r="H100" s="9"/>
      <c r="I100" s="13" t="s">
        <v>61</v>
      </c>
      <c r="J100" s="16">
        <v>57000</v>
      </c>
      <c r="K100" s="13" t="s">
        <v>78</v>
      </c>
      <c r="L100" t="s">
        <v>342</v>
      </c>
      <c r="O100" t="e">
        <f t="shared" si="89"/>
        <v>#VALUE!</v>
      </c>
      <c r="AG100">
        <f t="shared" si="90"/>
        <v>0</v>
      </c>
      <c r="AI100" t="e">
        <f t="shared" si="91"/>
        <v>#DIV/0!</v>
      </c>
      <c r="AK100" s="13" t="s">
        <v>78</v>
      </c>
      <c r="AL100" t="s">
        <v>343</v>
      </c>
      <c r="AO100" t="e">
        <f t="shared" si="92"/>
        <v>#VALUE!</v>
      </c>
      <c r="BB100" t="s">
        <v>61</v>
      </c>
      <c r="BC100">
        <v>182</v>
      </c>
    </row>
    <row r="101" hidden="1" spans="1:55">
      <c r="A101" s="1"/>
      <c r="B101" t="s">
        <v>348</v>
      </c>
      <c r="C101" t="s">
        <v>349</v>
      </c>
      <c r="D101" s="8" t="s">
        <v>350</v>
      </c>
      <c r="G101" s="1"/>
      <c r="H101" s="9"/>
      <c r="I101" s="13" t="s">
        <v>61</v>
      </c>
      <c r="J101" s="16">
        <v>57000</v>
      </c>
      <c r="K101" s="13" t="s">
        <v>61</v>
      </c>
      <c r="L101" t="s">
        <v>351</v>
      </c>
      <c r="O101" t="e">
        <f t="shared" si="89"/>
        <v>#VALUE!</v>
      </c>
      <c r="AG101">
        <f t="shared" si="90"/>
        <v>0</v>
      </c>
      <c r="AI101" t="e">
        <f t="shared" si="91"/>
        <v>#DIV/0!</v>
      </c>
      <c r="AK101" t="s">
        <v>61</v>
      </c>
      <c r="AL101" t="s">
        <v>352</v>
      </c>
      <c r="AO101" t="e">
        <f t="shared" si="92"/>
        <v>#VALUE!</v>
      </c>
      <c r="BB101" t="s">
        <v>61</v>
      </c>
      <c r="BC101">
        <v>182</v>
      </c>
    </row>
    <row r="102" hidden="1" spans="1:55">
      <c r="A102" s="1"/>
      <c r="B102" t="s">
        <v>353</v>
      </c>
      <c r="C102" t="s">
        <v>354</v>
      </c>
      <c r="D102" s="8" t="s">
        <v>350</v>
      </c>
      <c r="G102" s="1"/>
      <c r="H102" s="9"/>
      <c r="I102" s="13" t="s">
        <v>61</v>
      </c>
      <c r="J102" s="16">
        <v>57000</v>
      </c>
      <c r="K102" s="13" t="s">
        <v>61</v>
      </c>
      <c r="L102" t="s">
        <v>351</v>
      </c>
      <c r="O102" t="e">
        <f t="shared" si="89"/>
        <v>#VALUE!</v>
      </c>
      <c r="AG102">
        <f t="shared" si="90"/>
        <v>0</v>
      </c>
      <c r="AI102" t="e">
        <f t="shared" si="91"/>
        <v>#DIV/0!</v>
      </c>
      <c r="AK102" t="s">
        <v>61</v>
      </c>
      <c r="AL102" t="s">
        <v>352</v>
      </c>
      <c r="AO102" t="e">
        <f t="shared" si="92"/>
        <v>#VALUE!</v>
      </c>
      <c r="BB102" t="s">
        <v>61</v>
      </c>
      <c r="BC102">
        <v>182</v>
      </c>
    </row>
    <row r="103" hidden="1" spans="1:55">
      <c r="A103" s="1"/>
      <c r="B103" t="s">
        <v>355</v>
      </c>
      <c r="C103" t="s">
        <v>356</v>
      </c>
      <c r="D103" s="8" t="s">
        <v>357</v>
      </c>
      <c r="G103" s="1"/>
      <c r="H103" s="9"/>
      <c r="I103" s="13" t="s">
        <v>61</v>
      </c>
      <c r="J103" s="16">
        <v>57000</v>
      </c>
      <c r="K103" s="13" t="s">
        <v>61</v>
      </c>
      <c r="L103" t="s">
        <v>358</v>
      </c>
      <c r="M103" t="s">
        <v>61</v>
      </c>
      <c r="N103" t="s">
        <v>359</v>
      </c>
      <c r="O103" t="e">
        <f t="shared" si="89"/>
        <v>#VALUE!</v>
      </c>
      <c r="AG103">
        <f t="shared" si="90"/>
        <v>0</v>
      </c>
      <c r="AI103" t="e">
        <f t="shared" si="91"/>
        <v>#DIV/0!</v>
      </c>
      <c r="AK103" t="s">
        <v>61</v>
      </c>
      <c r="AL103" t="s">
        <v>359</v>
      </c>
      <c r="AO103" t="e">
        <f t="shared" si="92"/>
        <v>#VALUE!</v>
      </c>
      <c r="BB103" t="s">
        <v>61</v>
      </c>
      <c r="BC103">
        <v>182</v>
      </c>
    </row>
    <row r="104" hidden="1" spans="1:55">
      <c r="A104" s="1"/>
      <c r="B104" t="s">
        <v>360</v>
      </c>
      <c r="C104" t="s">
        <v>361</v>
      </c>
      <c r="D104" s="8" t="s">
        <v>357</v>
      </c>
      <c r="G104" s="1"/>
      <c r="H104" s="9"/>
      <c r="I104" s="13" t="s">
        <v>61</v>
      </c>
      <c r="J104" s="16">
        <v>57000</v>
      </c>
      <c r="K104" s="13" t="s">
        <v>61</v>
      </c>
      <c r="L104" t="s">
        <v>358</v>
      </c>
      <c r="M104" t="s">
        <v>61</v>
      </c>
      <c r="N104" t="s">
        <v>359</v>
      </c>
      <c r="O104" t="e">
        <f t="shared" si="89"/>
        <v>#VALUE!</v>
      </c>
      <c r="AG104">
        <f t="shared" si="90"/>
        <v>0</v>
      </c>
      <c r="AI104" t="e">
        <f t="shared" si="91"/>
        <v>#DIV/0!</v>
      </c>
      <c r="AK104" t="s">
        <v>61</v>
      </c>
      <c r="AL104" t="s">
        <v>359</v>
      </c>
      <c r="AO104" t="e">
        <f t="shared" si="92"/>
        <v>#VALUE!</v>
      </c>
      <c r="BB104" t="s">
        <v>61</v>
      </c>
      <c r="BC104">
        <v>182</v>
      </c>
    </row>
    <row r="105" hidden="1" spans="1:55">
      <c r="A105" s="1"/>
      <c r="B105" t="s">
        <v>362</v>
      </c>
      <c r="C105" t="s">
        <v>363</v>
      </c>
      <c r="D105" s="8" t="s">
        <v>357</v>
      </c>
      <c r="F105" s="33">
        <v>0.003</v>
      </c>
      <c r="G105" s="1"/>
      <c r="H105" s="9"/>
      <c r="I105" s="13" t="s">
        <v>61</v>
      </c>
      <c r="J105" s="16">
        <v>57000</v>
      </c>
      <c r="K105" s="13" t="s">
        <v>61</v>
      </c>
      <c r="L105" t="s">
        <v>358</v>
      </c>
      <c r="M105" t="s">
        <v>61</v>
      </c>
      <c r="N105" t="s">
        <v>359</v>
      </c>
      <c r="O105" t="e">
        <f t="shared" si="89"/>
        <v>#VALUE!</v>
      </c>
      <c r="AG105">
        <f t="shared" si="90"/>
        <v>0</v>
      </c>
      <c r="AI105" t="e">
        <f t="shared" si="91"/>
        <v>#DIV/0!</v>
      </c>
      <c r="AK105" t="s">
        <v>61</v>
      </c>
      <c r="AL105" t="s">
        <v>359</v>
      </c>
      <c r="AO105" t="e">
        <f t="shared" si="92"/>
        <v>#VALUE!</v>
      </c>
      <c r="BB105" t="s">
        <v>61</v>
      </c>
      <c r="BC105">
        <v>182</v>
      </c>
    </row>
    <row r="106" hidden="1" spans="1:55">
      <c r="A106" s="1"/>
      <c r="B106" t="s">
        <v>364</v>
      </c>
      <c r="C106" t="s">
        <v>365</v>
      </c>
      <c r="D106" t="s">
        <v>366</v>
      </c>
      <c r="G106" s="1"/>
      <c r="H106" s="9"/>
      <c r="I106" s="13" t="s">
        <v>61</v>
      </c>
      <c r="J106" s="16">
        <v>57000</v>
      </c>
      <c r="K106" t="s">
        <v>61</v>
      </c>
      <c r="L106" s="16" t="s">
        <v>367</v>
      </c>
      <c r="O106" t="e">
        <f t="shared" si="89"/>
        <v>#VALUE!</v>
      </c>
      <c r="AG106">
        <f t="shared" si="90"/>
        <v>0</v>
      </c>
      <c r="AI106" t="e">
        <f t="shared" si="91"/>
        <v>#DIV/0!</v>
      </c>
      <c r="AK106" t="s">
        <v>61</v>
      </c>
      <c r="AL106" t="s">
        <v>368</v>
      </c>
      <c r="AO106" t="e">
        <f t="shared" si="92"/>
        <v>#VALUE!</v>
      </c>
      <c r="BB106" t="s">
        <v>61</v>
      </c>
      <c r="BC106">
        <v>182</v>
      </c>
    </row>
    <row r="107" hidden="1" spans="1:55">
      <c r="A107" s="1"/>
      <c r="B107" t="s">
        <v>369</v>
      </c>
      <c r="C107" t="s">
        <v>370</v>
      </c>
      <c r="D107" s="8" t="s">
        <v>371</v>
      </c>
      <c r="G107" s="1"/>
      <c r="H107" s="9"/>
      <c r="I107" s="13" t="s">
        <v>61</v>
      </c>
      <c r="J107" s="16">
        <v>57000</v>
      </c>
      <c r="K107" s="13" t="s">
        <v>78</v>
      </c>
      <c r="L107">
        <v>716</v>
      </c>
      <c r="O107">
        <f t="shared" si="89"/>
        <v>-1</v>
      </c>
      <c r="AG107">
        <f t="shared" si="90"/>
        <v>0</v>
      </c>
      <c r="AI107" t="e">
        <f t="shared" si="91"/>
        <v>#DIV/0!</v>
      </c>
      <c r="AK107" t="s">
        <v>61</v>
      </c>
      <c r="AL107" t="s">
        <v>372</v>
      </c>
      <c r="AO107" t="e">
        <f t="shared" si="92"/>
        <v>#VALUE!</v>
      </c>
      <c r="BB107" t="s">
        <v>61</v>
      </c>
      <c r="BC107">
        <v>182</v>
      </c>
    </row>
    <row r="108" hidden="1" spans="1:55">
      <c r="A108" s="1"/>
      <c r="B108" t="s">
        <v>373</v>
      </c>
      <c r="C108" t="s">
        <v>374</v>
      </c>
      <c r="D108" t="s">
        <v>375</v>
      </c>
      <c r="G108" s="1"/>
      <c r="H108" s="9"/>
      <c r="I108" s="13" t="s">
        <v>61</v>
      </c>
      <c r="J108" s="16">
        <v>57000</v>
      </c>
      <c r="K108" t="s">
        <v>61</v>
      </c>
      <c r="L108" t="s">
        <v>376</v>
      </c>
      <c r="O108" t="e">
        <f t="shared" si="89"/>
        <v>#VALUE!</v>
      </c>
      <c r="AG108">
        <f t="shared" si="90"/>
        <v>0</v>
      </c>
      <c r="AI108" t="e">
        <f t="shared" si="91"/>
        <v>#DIV/0!</v>
      </c>
      <c r="AK108" t="s">
        <v>61</v>
      </c>
      <c r="AL108" t="s">
        <v>377</v>
      </c>
      <c r="AO108" t="e">
        <f t="shared" si="92"/>
        <v>#VALUE!</v>
      </c>
      <c r="BB108" t="s">
        <v>61</v>
      </c>
      <c r="BC108">
        <v>182</v>
      </c>
    </row>
    <row r="109" hidden="1" spans="1:55">
      <c r="A109" s="1"/>
      <c r="B109" t="s">
        <v>378</v>
      </c>
      <c r="C109" t="s">
        <v>379</v>
      </c>
      <c r="D109" t="s">
        <v>375</v>
      </c>
      <c r="G109" s="1"/>
      <c r="H109" s="9"/>
      <c r="I109" s="13" t="s">
        <v>61</v>
      </c>
      <c r="J109" s="16">
        <v>57000</v>
      </c>
      <c r="K109" t="s">
        <v>61</v>
      </c>
      <c r="L109" t="s">
        <v>376</v>
      </c>
      <c r="O109" t="e">
        <f t="shared" si="89"/>
        <v>#VALUE!</v>
      </c>
      <c r="AG109">
        <f t="shared" si="90"/>
        <v>0</v>
      </c>
      <c r="AI109" t="e">
        <f t="shared" si="91"/>
        <v>#DIV/0!</v>
      </c>
      <c r="AK109" t="s">
        <v>61</v>
      </c>
      <c r="AL109" t="s">
        <v>377</v>
      </c>
      <c r="AO109" t="e">
        <f t="shared" si="92"/>
        <v>#VALUE!</v>
      </c>
      <c r="BB109" t="s">
        <v>61</v>
      </c>
      <c r="BC109">
        <v>182</v>
      </c>
    </row>
    <row r="110" hidden="1" spans="1:55">
      <c r="A110" s="1"/>
      <c r="B110" t="s">
        <v>380</v>
      </c>
      <c r="C110" t="s">
        <v>381</v>
      </c>
      <c r="D110" t="s">
        <v>382</v>
      </c>
      <c r="G110" s="1"/>
      <c r="H110" s="9"/>
      <c r="I110" s="13" t="s">
        <v>61</v>
      </c>
      <c r="J110" s="16">
        <v>57000</v>
      </c>
      <c r="K110" s="13" t="s">
        <v>78</v>
      </c>
      <c r="L110" t="s">
        <v>383</v>
      </c>
      <c r="O110" t="e">
        <f t="shared" si="89"/>
        <v>#VALUE!</v>
      </c>
      <c r="AG110">
        <f t="shared" si="90"/>
        <v>0</v>
      </c>
      <c r="AI110" t="e">
        <f t="shared" si="91"/>
        <v>#DIV/0!</v>
      </c>
      <c r="AK110" t="s">
        <v>61</v>
      </c>
      <c r="AL110" t="s">
        <v>384</v>
      </c>
      <c r="AO110" t="e">
        <f t="shared" si="92"/>
        <v>#VALUE!</v>
      </c>
      <c r="BB110" t="s">
        <v>61</v>
      </c>
      <c r="BC110">
        <v>182</v>
      </c>
    </row>
    <row r="111" hidden="1" spans="1:55">
      <c r="A111" s="1"/>
      <c r="B111" t="s">
        <v>385</v>
      </c>
      <c r="C111" t="s">
        <v>386</v>
      </c>
      <c r="D111" t="s">
        <v>382</v>
      </c>
      <c r="G111" s="1"/>
      <c r="H111" s="9"/>
      <c r="I111" s="13" t="s">
        <v>61</v>
      </c>
      <c r="J111" s="16">
        <v>57000</v>
      </c>
      <c r="K111" s="13" t="s">
        <v>78</v>
      </c>
      <c r="L111" t="s">
        <v>383</v>
      </c>
      <c r="O111" t="e">
        <f t="shared" si="89"/>
        <v>#VALUE!</v>
      </c>
      <c r="AG111">
        <f t="shared" si="90"/>
        <v>0</v>
      </c>
      <c r="AI111" t="e">
        <f t="shared" si="91"/>
        <v>#DIV/0!</v>
      </c>
      <c r="AK111" t="s">
        <v>61</v>
      </c>
      <c r="AL111" t="s">
        <v>384</v>
      </c>
      <c r="AO111" t="e">
        <f t="shared" si="92"/>
        <v>#VALUE!</v>
      </c>
      <c r="BB111" t="s">
        <v>61</v>
      </c>
      <c r="BC111">
        <v>182</v>
      </c>
    </row>
    <row r="112" hidden="1" spans="1:55">
      <c r="A112" s="1"/>
      <c r="B112" t="s">
        <v>387</v>
      </c>
      <c r="C112" t="s">
        <v>388</v>
      </c>
      <c r="D112" t="s">
        <v>382</v>
      </c>
      <c r="G112" s="1"/>
      <c r="H112" s="9"/>
      <c r="I112" s="13" t="s">
        <v>61</v>
      </c>
      <c r="J112" s="16">
        <v>57000</v>
      </c>
      <c r="K112" s="13" t="s">
        <v>78</v>
      </c>
      <c r="L112" t="s">
        <v>383</v>
      </c>
      <c r="O112" t="e">
        <f t="shared" si="89"/>
        <v>#VALUE!</v>
      </c>
      <c r="AG112">
        <f t="shared" si="90"/>
        <v>0</v>
      </c>
      <c r="AI112" t="e">
        <f t="shared" si="91"/>
        <v>#DIV/0!</v>
      </c>
      <c r="AK112" t="s">
        <v>61</v>
      </c>
      <c r="AL112" t="s">
        <v>384</v>
      </c>
      <c r="AO112" t="e">
        <f t="shared" si="92"/>
        <v>#VALUE!</v>
      </c>
      <c r="BB112" t="s">
        <v>61</v>
      </c>
      <c r="BC112">
        <v>182</v>
      </c>
    </row>
    <row r="113" hidden="1" spans="1:55">
      <c r="A113" s="1"/>
      <c r="B113" t="s">
        <v>389</v>
      </c>
      <c r="C113" t="s">
        <v>390</v>
      </c>
      <c r="D113" t="s">
        <v>382</v>
      </c>
      <c r="G113" s="1"/>
      <c r="H113" s="9"/>
      <c r="I113" s="13" t="s">
        <v>61</v>
      </c>
      <c r="J113" s="16">
        <v>57000</v>
      </c>
      <c r="K113" s="13" t="s">
        <v>78</v>
      </c>
      <c r="L113" t="s">
        <v>383</v>
      </c>
      <c r="O113" t="e">
        <f t="shared" si="89"/>
        <v>#VALUE!</v>
      </c>
      <c r="AG113">
        <f t="shared" si="90"/>
        <v>0</v>
      </c>
      <c r="AI113" t="e">
        <f t="shared" si="91"/>
        <v>#DIV/0!</v>
      </c>
      <c r="AK113" t="s">
        <v>61</v>
      </c>
      <c r="AL113" t="s">
        <v>384</v>
      </c>
      <c r="AO113" t="e">
        <f t="shared" si="92"/>
        <v>#VALUE!</v>
      </c>
      <c r="BB113" t="s">
        <v>61</v>
      </c>
      <c r="BC113">
        <v>182</v>
      </c>
    </row>
    <row r="114" hidden="1" spans="1:55">
      <c r="A114" s="1"/>
      <c r="B114" t="s">
        <v>391</v>
      </c>
      <c r="C114" t="s">
        <v>392</v>
      </c>
      <c r="D114" t="s">
        <v>393</v>
      </c>
      <c r="G114" s="1"/>
      <c r="H114" s="9"/>
      <c r="I114" s="13" t="s">
        <v>61</v>
      </c>
      <c r="J114" s="16">
        <v>57000</v>
      </c>
      <c r="K114" t="s">
        <v>61</v>
      </c>
      <c r="L114" t="s">
        <v>394</v>
      </c>
      <c r="O114" t="e">
        <f t="shared" si="89"/>
        <v>#VALUE!</v>
      </c>
      <c r="AG114">
        <f t="shared" si="90"/>
        <v>0</v>
      </c>
      <c r="AI114" t="e">
        <f t="shared" si="91"/>
        <v>#DIV/0!</v>
      </c>
      <c r="AK114" t="s">
        <v>61</v>
      </c>
      <c r="AL114" t="s">
        <v>395</v>
      </c>
      <c r="AO114" t="e">
        <f t="shared" si="92"/>
        <v>#VALUE!</v>
      </c>
      <c r="BB114" t="s">
        <v>61</v>
      </c>
      <c r="BC114">
        <v>182</v>
      </c>
    </row>
    <row r="115" hidden="1" spans="1:55">
      <c r="A115" s="1"/>
      <c r="B115" t="s">
        <v>396</v>
      </c>
      <c r="C115" t="s">
        <v>397</v>
      </c>
      <c r="D115" t="s">
        <v>398</v>
      </c>
      <c r="G115" s="1"/>
      <c r="H115" s="9"/>
      <c r="I115" s="13" t="s">
        <v>61</v>
      </c>
      <c r="J115" s="16">
        <v>57000</v>
      </c>
      <c r="K115" t="s">
        <v>61</v>
      </c>
      <c r="L115" t="s">
        <v>399</v>
      </c>
      <c r="O115" t="e">
        <f t="shared" si="89"/>
        <v>#VALUE!</v>
      </c>
      <c r="AG115">
        <f t="shared" si="90"/>
        <v>0</v>
      </c>
      <c r="AI115" t="e">
        <f t="shared" si="91"/>
        <v>#DIV/0!</v>
      </c>
      <c r="AK115" t="s">
        <v>61</v>
      </c>
      <c r="AL115" t="s">
        <v>400</v>
      </c>
      <c r="AO115" t="e">
        <f t="shared" si="92"/>
        <v>#VALUE!</v>
      </c>
      <c r="BB115" t="s">
        <v>61</v>
      </c>
      <c r="BC115">
        <v>182</v>
      </c>
    </row>
    <row r="116" hidden="1" spans="1:55">
      <c r="A116" s="1"/>
      <c r="B116" t="s">
        <v>401</v>
      </c>
      <c r="C116" t="s">
        <v>402</v>
      </c>
      <c r="D116" t="s">
        <v>403</v>
      </c>
      <c r="G116" s="1"/>
      <c r="H116" s="9"/>
      <c r="I116" s="13" t="s">
        <v>61</v>
      </c>
      <c r="J116" s="16">
        <v>57000</v>
      </c>
      <c r="K116" t="s">
        <v>61</v>
      </c>
      <c r="L116" t="s">
        <v>404</v>
      </c>
      <c r="O116" t="e">
        <f t="shared" si="89"/>
        <v>#VALUE!</v>
      </c>
      <c r="AG116">
        <f t="shared" si="90"/>
        <v>0</v>
      </c>
      <c r="AI116" t="e">
        <f t="shared" si="91"/>
        <v>#DIV/0!</v>
      </c>
      <c r="AK116" t="s">
        <v>61</v>
      </c>
      <c r="AL116" t="s">
        <v>405</v>
      </c>
      <c r="AO116" t="e">
        <f t="shared" si="92"/>
        <v>#VALUE!</v>
      </c>
      <c r="BB116" t="s">
        <v>61</v>
      </c>
      <c r="BC116">
        <v>182</v>
      </c>
    </row>
    <row r="117" s="2" customFormat="1" hidden="1" spans="1:87">
      <c r="A117" s="1"/>
      <c r="B117" t="s">
        <v>406</v>
      </c>
      <c r="C117" t="s">
        <v>407</v>
      </c>
      <c r="D117" s="8" t="s">
        <v>408</v>
      </c>
      <c r="E117"/>
      <c r="F117"/>
      <c r="G117" s="1"/>
      <c r="H117" s="9"/>
      <c r="I117" s="13" t="s">
        <v>61</v>
      </c>
      <c r="J117" s="16">
        <v>57000</v>
      </c>
      <c r="K117" s="13" t="s">
        <v>134</v>
      </c>
      <c r="L117">
        <v>266</v>
      </c>
      <c r="M117" t="s">
        <v>134</v>
      </c>
      <c r="N117" s="20" t="s">
        <v>409</v>
      </c>
      <c r="O117" t="e">
        <f t="shared" si="89"/>
        <v>#VALUE!</v>
      </c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>
        <f t="shared" si="90"/>
        <v>0</v>
      </c>
      <c r="AH117"/>
      <c r="AI117" t="e">
        <f t="shared" si="91"/>
        <v>#DIV/0!</v>
      </c>
      <c r="AJ117"/>
      <c r="AK117" t="s">
        <v>134</v>
      </c>
      <c r="AL117" s="20">
        <v>339.534</v>
      </c>
      <c r="AM117" s="28"/>
      <c r="AN117"/>
      <c r="AO117" t="e">
        <f t="shared" si="92"/>
        <v>#DIV/0!</v>
      </c>
      <c r="AP117"/>
      <c r="AQ117"/>
      <c r="AR117"/>
      <c r="AS117"/>
      <c r="AT117"/>
      <c r="AU117"/>
      <c r="AV117"/>
      <c r="AW117"/>
      <c r="AX117"/>
      <c r="AY117"/>
      <c r="AZ117"/>
      <c r="BA117"/>
      <c r="BB117" t="s">
        <v>61</v>
      </c>
      <c r="BC117">
        <v>182</v>
      </c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</row>
    <row r="118" s="2" customFormat="1" hidden="1" spans="1:87">
      <c r="A118" s="1"/>
      <c r="B118" t="s">
        <v>410</v>
      </c>
      <c r="C118" t="s">
        <v>411</v>
      </c>
      <c r="D118" t="s">
        <v>412</v>
      </c>
      <c r="E118"/>
      <c r="F118"/>
      <c r="G118" s="1"/>
      <c r="H118" s="9"/>
      <c r="I118" s="13" t="s">
        <v>61</v>
      </c>
      <c r="J118" s="16">
        <v>57000</v>
      </c>
      <c r="K118" t="s">
        <v>61</v>
      </c>
      <c r="L118" t="s">
        <v>413</v>
      </c>
      <c r="M118"/>
      <c r="N118"/>
      <c r="O118" t="e">
        <f t="shared" si="89"/>
        <v>#VALUE!</v>
      </c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>
        <f t="shared" si="90"/>
        <v>0</v>
      </c>
      <c r="AH118"/>
      <c r="AI118" t="e">
        <f t="shared" si="91"/>
        <v>#DIV/0!</v>
      </c>
      <c r="AJ118"/>
      <c r="AK118" t="s">
        <v>61</v>
      </c>
      <c r="AL118" t="s">
        <v>414</v>
      </c>
      <c r="AM118"/>
      <c r="AN118"/>
      <c r="AO118" t="e">
        <f t="shared" si="92"/>
        <v>#VALUE!</v>
      </c>
      <c r="AP118"/>
      <c r="AQ118"/>
      <c r="AR118"/>
      <c r="AS118"/>
      <c r="AT118"/>
      <c r="AU118"/>
      <c r="AV118"/>
      <c r="AW118"/>
      <c r="AX118"/>
      <c r="AY118"/>
      <c r="AZ118"/>
      <c r="BA118"/>
      <c r="BB118" t="s">
        <v>61</v>
      </c>
      <c r="BC118">
        <v>182</v>
      </c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</row>
    <row r="119" s="3" customFormat="1" hidden="1" spans="1:87">
      <c r="A119" s="1"/>
      <c r="B119" t="s">
        <v>415</v>
      </c>
      <c r="C119" t="s">
        <v>416</v>
      </c>
      <c r="D119" t="s">
        <v>412</v>
      </c>
      <c r="E119"/>
      <c r="F119"/>
      <c r="G119" s="1"/>
      <c r="H119" s="9"/>
      <c r="I119" s="13" t="s">
        <v>61</v>
      </c>
      <c r="J119" s="16">
        <v>57000</v>
      </c>
      <c r="K119" t="s">
        <v>61</v>
      </c>
      <c r="L119" t="s">
        <v>413</v>
      </c>
      <c r="M119"/>
      <c r="N119"/>
      <c r="O119" t="e">
        <f t="shared" si="89"/>
        <v>#VALUE!</v>
      </c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>
        <f t="shared" si="90"/>
        <v>0</v>
      </c>
      <c r="AH119"/>
      <c r="AI119" t="e">
        <f t="shared" si="91"/>
        <v>#DIV/0!</v>
      </c>
      <c r="AJ119"/>
      <c r="AK119" t="s">
        <v>61</v>
      </c>
      <c r="AL119" t="s">
        <v>414</v>
      </c>
      <c r="AM119"/>
      <c r="AN119"/>
      <c r="AO119" t="e">
        <f t="shared" si="92"/>
        <v>#VALUE!</v>
      </c>
      <c r="AP119"/>
      <c r="AQ119"/>
      <c r="AR119"/>
      <c r="AS119"/>
      <c r="AT119"/>
      <c r="AU119"/>
      <c r="AV119"/>
      <c r="AW119"/>
      <c r="AX119"/>
      <c r="AY119"/>
      <c r="AZ119"/>
      <c r="BA119"/>
      <c r="BB119" t="s">
        <v>61</v>
      </c>
      <c r="BC119">
        <v>182</v>
      </c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</row>
    <row r="120" s="3" customFormat="1" hidden="1" spans="1:87">
      <c r="A120" s="1"/>
      <c r="B120" t="s">
        <v>417</v>
      </c>
      <c r="C120" t="s">
        <v>418</v>
      </c>
      <c r="D120" t="s">
        <v>412</v>
      </c>
      <c r="E120"/>
      <c r="F120"/>
      <c r="G120" s="1"/>
      <c r="H120" s="9"/>
      <c r="I120" s="13" t="s">
        <v>61</v>
      </c>
      <c r="J120" s="16">
        <v>57000</v>
      </c>
      <c r="K120" t="s">
        <v>61</v>
      </c>
      <c r="L120" t="s">
        <v>413</v>
      </c>
      <c r="M120"/>
      <c r="N120"/>
      <c r="O120" t="e">
        <f t="shared" si="89"/>
        <v>#VALUE!</v>
      </c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>
        <f t="shared" si="90"/>
        <v>0</v>
      </c>
      <c r="AH120"/>
      <c r="AI120" t="e">
        <f t="shared" si="91"/>
        <v>#DIV/0!</v>
      </c>
      <c r="AJ120"/>
      <c r="AK120" t="s">
        <v>61</v>
      </c>
      <c r="AL120" t="s">
        <v>414</v>
      </c>
      <c r="AM120"/>
      <c r="AN120"/>
      <c r="AO120" t="e">
        <f t="shared" si="92"/>
        <v>#VALUE!</v>
      </c>
      <c r="AP120"/>
      <c r="AQ120"/>
      <c r="AR120"/>
      <c r="AS120"/>
      <c r="AT120"/>
      <c r="AU120"/>
      <c r="AV120"/>
      <c r="AW120"/>
      <c r="AX120"/>
      <c r="AY120"/>
      <c r="AZ120"/>
      <c r="BA120"/>
      <c r="BB120" t="s">
        <v>61</v>
      </c>
      <c r="BC120">
        <v>182</v>
      </c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</row>
    <row r="121" s="3" customFormat="1" hidden="1" spans="1:41">
      <c r="A121" s="1"/>
      <c r="B121" s="7" t="s">
        <v>419</v>
      </c>
      <c r="C121" s="7" t="s">
        <v>419</v>
      </c>
      <c r="D121" s="3" t="s">
        <v>420</v>
      </c>
      <c r="F121" s="12">
        <v>0.003</v>
      </c>
      <c r="G121" s="1"/>
      <c r="H121" s="9"/>
      <c r="I121" s="13" t="s">
        <v>61</v>
      </c>
      <c r="J121" s="16">
        <v>57000</v>
      </c>
      <c r="K121" s="3" t="s">
        <v>61</v>
      </c>
      <c r="L121" s="3">
        <v>2.21</v>
      </c>
      <c r="M121" s="3" t="s">
        <v>61</v>
      </c>
      <c r="N121" s="3" t="s">
        <v>421</v>
      </c>
      <c r="O121" t="e">
        <f t="shared" si="89"/>
        <v>#VALUE!</v>
      </c>
      <c r="P121"/>
      <c r="Q121"/>
      <c r="AG121">
        <f t="shared" si="90"/>
        <v>0</v>
      </c>
      <c r="AH121"/>
      <c r="AI121" t="e">
        <f t="shared" si="91"/>
        <v>#DIV/0!</v>
      </c>
      <c r="AK121" s="3" t="s">
        <v>61</v>
      </c>
      <c r="AL121" s="3">
        <v>13800</v>
      </c>
      <c r="AO121" t="e">
        <f t="shared" si="92"/>
        <v>#DIV/0!</v>
      </c>
    </row>
    <row r="122" s="3" customFormat="1" hidden="1" spans="1:87">
      <c r="A122" s="1"/>
      <c r="B122" t="s">
        <v>422</v>
      </c>
      <c r="C122" t="s">
        <v>423</v>
      </c>
      <c r="D122" s="8" t="s">
        <v>424</v>
      </c>
      <c r="E122"/>
      <c r="F122"/>
      <c r="G122" s="1"/>
      <c r="H122" s="9"/>
      <c r="I122" s="13" t="s">
        <v>61</v>
      </c>
      <c r="J122" s="16">
        <v>1547000</v>
      </c>
      <c r="K122" s="13" t="s">
        <v>78</v>
      </c>
      <c r="L122">
        <v>473</v>
      </c>
      <c r="M122"/>
      <c r="N122"/>
      <c r="O122">
        <f t="shared" ref="O122:O175" si="93">(N122-L122)/L122</f>
        <v>-1</v>
      </c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>
        <f t="shared" si="90"/>
        <v>0</v>
      </c>
      <c r="AH122"/>
      <c r="AI122" t="e">
        <f t="shared" si="91"/>
        <v>#DIV/0!</v>
      </c>
      <c r="AJ122"/>
      <c r="AK122" t="s">
        <v>61</v>
      </c>
      <c r="AL122">
        <v>737</v>
      </c>
      <c r="AM122"/>
      <c r="AN122"/>
      <c r="AO122" t="e">
        <f t="shared" si="92"/>
        <v>#DIV/0!</v>
      </c>
      <c r="AP122"/>
      <c r="AQ122"/>
      <c r="AR122"/>
      <c r="AS122"/>
      <c r="AT122"/>
      <c r="AU122"/>
      <c r="AV122"/>
      <c r="AW122"/>
      <c r="AX122"/>
      <c r="AY122"/>
      <c r="AZ122"/>
      <c r="BA122"/>
      <c r="BB122" t="s">
        <v>61</v>
      </c>
      <c r="BC122">
        <v>182</v>
      </c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</row>
    <row r="123" s="3" customFormat="1" hidden="1" spans="1:87">
      <c r="A123" s="1"/>
      <c r="B123" t="s">
        <v>425</v>
      </c>
      <c r="C123" t="s">
        <v>426</v>
      </c>
      <c r="D123" t="s">
        <v>427</v>
      </c>
      <c r="E123"/>
      <c r="F123"/>
      <c r="G123" s="1"/>
      <c r="H123" s="9"/>
      <c r="I123" s="13" t="s">
        <v>61</v>
      </c>
      <c r="J123" s="16">
        <v>57000</v>
      </c>
      <c r="K123" t="s">
        <v>61</v>
      </c>
      <c r="L123" t="s">
        <v>428</v>
      </c>
      <c r="M123"/>
      <c r="N123"/>
      <c r="O123" t="e">
        <f t="shared" si="93"/>
        <v>#VALUE!</v>
      </c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>
        <f t="shared" si="90"/>
        <v>0</v>
      </c>
      <c r="AH123"/>
      <c r="AI123" t="e">
        <f t="shared" si="91"/>
        <v>#DIV/0!</v>
      </c>
      <c r="AJ123"/>
      <c r="AK123" t="s">
        <v>61</v>
      </c>
      <c r="AL123" t="s">
        <v>429</v>
      </c>
      <c r="AM123"/>
      <c r="AN123"/>
      <c r="AO123" t="e">
        <f t="shared" si="92"/>
        <v>#VALUE!</v>
      </c>
      <c r="AP123"/>
      <c r="AQ123"/>
      <c r="AR123"/>
      <c r="AS123"/>
      <c r="AT123"/>
      <c r="AU123"/>
      <c r="AV123"/>
      <c r="AW123"/>
      <c r="AX123"/>
      <c r="AY123"/>
      <c r="AZ123"/>
      <c r="BA123"/>
      <c r="BB123" t="s">
        <v>61</v>
      </c>
      <c r="BC123">
        <v>182</v>
      </c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</row>
    <row r="124" s="2" customFormat="1" hidden="1" spans="1:87">
      <c r="A124" s="1"/>
      <c r="B124" t="s">
        <v>430</v>
      </c>
      <c r="C124" t="s">
        <v>431</v>
      </c>
      <c r="D124" t="s">
        <v>427</v>
      </c>
      <c r="E124"/>
      <c r="F124"/>
      <c r="G124" s="1"/>
      <c r="H124" s="9"/>
      <c r="I124" s="13" t="s">
        <v>61</v>
      </c>
      <c r="J124" s="16">
        <v>57000</v>
      </c>
      <c r="K124" t="s">
        <v>61</v>
      </c>
      <c r="L124" t="s">
        <v>428</v>
      </c>
      <c r="M124"/>
      <c r="N124"/>
      <c r="O124" t="e">
        <f t="shared" si="93"/>
        <v>#VALUE!</v>
      </c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>
        <f t="shared" si="90"/>
        <v>0</v>
      </c>
      <c r="AH124"/>
      <c r="AI124" t="e">
        <f t="shared" si="91"/>
        <v>#DIV/0!</v>
      </c>
      <c r="AJ124"/>
      <c r="AK124" t="s">
        <v>61</v>
      </c>
      <c r="AL124" t="s">
        <v>429</v>
      </c>
      <c r="AM124"/>
      <c r="AN124"/>
      <c r="AO124" t="e">
        <f t="shared" si="92"/>
        <v>#VALUE!</v>
      </c>
      <c r="AP124"/>
      <c r="AQ124"/>
      <c r="AR124"/>
      <c r="AS124"/>
      <c r="AT124"/>
      <c r="AU124"/>
      <c r="AV124"/>
      <c r="AW124"/>
      <c r="AX124"/>
      <c r="AY124"/>
      <c r="AZ124"/>
      <c r="BA124"/>
      <c r="BB124" t="s">
        <v>61</v>
      </c>
      <c r="BC124">
        <v>182</v>
      </c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</row>
    <row r="125" s="3" customFormat="1" hidden="1" spans="1:87">
      <c r="A125" s="1"/>
      <c r="B125" t="s">
        <v>432</v>
      </c>
      <c r="C125" t="s">
        <v>433</v>
      </c>
      <c r="D125" s="8" t="s">
        <v>434</v>
      </c>
      <c r="E125"/>
      <c r="F125"/>
      <c r="G125" s="1"/>
      <c r="H125" s="9"/>
      <c r="I125" s="13" t="s">
        <v>61</v>
      </c>
      <c r="J125" s="16">
        <v>57000</v>
      </c>
      <c r="K125" t="s">
        <v>61</v>
      </c>
      <c r="L125" t="s">
        <v>435</v>
      </c>
      <c r="M125"/>
      <c r="N125"/>
      <c r="O125" t="e">
        <f t="shared" si="93"/>
        <v>#VALUE!</v>
      </c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>
        <f t="shared" si="90"/>
        <v>0</v>
      </c>
      <c r="AH125"/>
      <c r="AI125" t="e">
        <f t="shared" si="91"/>
        <v>#DIV/0!</v>
      </c>
      <c r="AJ125"/>
      <c r="AK125"/>
      <c r="AL125"/>
      <c r="AM125"/>
      <c r="AN125"/>
      <c r="AO125" t="e">
        <f t="shared" si="92"/>
        <v>#DIV/0!</v>
      </c>
      <c r="AP125"/>
      <c r="AQ125"/>
      <c r="AR125"/>
      <c r="AS125"/>
      <c r="AT125"/>
      <c r="AU125"/>
      <c r="AV125"/>
      <c r="AW125"/>
      <c r="AX125"/>
      <c r="AY125"/>
      <c r="AZ125"/>
      <c r="BA125"/>
      <c r="BB125" t="s">
        <v>61</v>
      </c>
      <c r="BC125">
        <v>182</v>
      </c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</row>
    <row r="126" s="3" customFormat="1" hidden="1" spans="1:87">
      <c r="A126" s="1"/>
      <c r="B126" t="s">
        <v>436</v>
      </c>
      <c r="C126" t="s">
        <v>437</v>
      </c>
      <c r="D126" t="s">
        <v>438</v>
      </c>
      <c r="E126"/>
      <c r="F126"/>
      <c r="G126" s="1"/>
      <c r="H126" s="9"/>
      <c r="I126" s="13" t="s">
        <v>61</v>
      </c>
      <c r="J126" s="16">
        <v>57000</v>
      </c>
      <c r="K126" t="s">
        <v>61</v>
      </c>
      <c r="L126" t="s">
        <v>439</v>
      </c>
      <c r="M126"/>
      <c r="N126"/>
      <c r="O126" t="e">
        <f t="shared" si="93"/>
        <v>#VALUE!</v>
      </c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>
        <f t="shared" si="90"/>
        <v>0</v>
      </c>
      <c r="AH126"/>
      <c r="AI126" t="e">
        <f t="shared" si="91"/>
        <v>#DIV/0!</v>
      </c>
      <c r="AJ126"/>
      <c r="AK126" t="s">
        <v>61</v>
      </c>
      <c r="AL126" t="s">
        <v>440</v>
      </c>
      <c r="AM126"/>
      <c r="AN126"/>
      <c r="AO126" t="e">
        <f t="shared" si="92"/>
        <v>#VALUE!</v>
      </c>
      <c r="AP126"/>
      <c r="AQ126"/>
      <c r="AR126"/>
      <c r="AS126"/>
      <c r="AT126"/>
      <c r="AU126"/>
      <c r="AV126"/>
      <c r="AW126"/>
      <c r="AX126"/>
      <c r="AY126"/>
      <c r="AZ126"/>
      <c r="BA126"/>
      <c r="BB126" t="s">
        <v>61</v>
      </c>
      <c r="BC126">
        <v>182</v>
      </c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</row>
    <row r="127" hidden="1" spans="1:55">
      <c r="A127" s="1"/>
      <c r="B127" t="s">
        <v>441</v>
      </c>
      <c r="C127" t="s">
        <v>442</v>
      </c>
      <c r="D127" t="s">
        <v>438</v>
      </c>
      <c r="G127" s="1"/>
      <c r="H127" s="9"/>
      <c r="I127" s="13" t="s">
        <v>61</v>
      </c>
      <c r="J127" s="16">
        <v>57000</v>
      </c>
      <c r="K127" t="s">
        <v>61</v>
      </c>
      <c r="L127" t="s">
        <v>439</v>
      </c>
      <c r="O127" t="e">
        <f t="shared" si="93"/>
        <v>#VALUE!</v>
      </c>
      <c r="AG127">
        <f t="shared" si="90"/>
        <v>0</v>
      </c>
      <c r="AI127" t="e">
        <f t="shared" si="91"/>
        <v>#DIV/0!</v>
      </c>
      <c r="AK127" t="s">
        <v>61</v>
      </c>
      <c r="AL127" t="s">
        <v>440</v>
      </c>
      <c r="AO127" t="e">
        <f t="shared" si="92"/>
        <v>#VALUE!</v>
      </c>
      <c r="BB127" t="s">
        <v>61</v>
      </c>
      <c r="BC127">
        <v>182</v>
      </c>
    </row>
    <row r="128" hidden="1" spans="2:55">
      <c r="B128" t="s">
        <v>443</v>
      </c>
      <c r="C128" t="s">
        <v>444</v>
      </c>
      <c r="D128" t="s">
        <v>443</v>
      </c>
      <c r="H128" s="9"/>
      <c r="I128" s="13" t="s">
        <v>61</v>
      </c>
      <c r="J128" s="16">
        <v>1547000</v>
      </c>
      <c r="K128" t="s">
        <v>61</v>
      </c>
      <c r="L128" t="s">
        <v>445</v>
      </c>
      <c r="M128" t="s">
        <v>61</v>
      </c>
      <c r="N128" t="s">
        <v>446</v>
      </c>
      <c r="O128" t="e">
        <f t="shared" si="93"/>
        <v>#VALUE!</v>
      </c>
      <c r="AG128">
        <f t="shared" si="90"/>
        <v>0</v>
      </c>
      <c r="AI128" t="e">
        <f t="shared" si="91"/>
        <v>#DIV/0!</v>
      </c>
      <c r="AK128" t="s">
        <v>61</v>
      </c>
      <c r="AL128" t="s">
        <v>447</v>
      </c>
      <c r="AO128" t="e">
        <f t="shared" si="92"/>
        <v>#VALUE!</v>
      </c>
      <c r="BB128" t="s">
        <v>61</v>
      </c>
      <c r="BC128">
        <v>182</v>
      </c>
    </row>
    <row r="129" hidden="1" spans="1:87">
      <c r="A129" s="3"/>
      <c r="B129" s="7" t="s">
        <v>448</v>
      </c>
      <c r="C129" s="7" t="s">
        <v>448</v>
      </c>
      <c r="D129" s="3"/>
      <c r="E129" s="3"/>
      <c r="F129" s="3"/>
      <c r="G129" s="3"/>
      <c r="H129" s="9"/>
      <c r="I129" s="13" t="s">
        <v>61</v>
      </c>
      <c r="J129" s="16">
        <v>57000</v>
      </c>
      <c r="K129" s="3"/>
      <c r="L129" s="3"/>
      <c r="M129" s="3"/>
      <c r="N129" s="3"/>
      <c r="O129" t="e">
        <f t="shared" si="93"/>
        <v>#DIV/0!</v>
      </c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>
        <f t="shared" si="90"/>
        <v>0</v>
      </c>
      <c r="AI129" t="e">
        <f t="shared" si="91"/>
        <v>#DIV/0!</v>
      </c>
      <c r="AJ129" s="3"/>
      <c r="AK129" s="3"/>
      <c r="AL129" s="3"/>
      <c r="AM129" s="3"/>
      <c r="AN129" s="3"/>
      <c r="AO129" t="e">
        <f t="shared" si="92"/>
        <v>#DIV/0!</v>
      </c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</row>
    <row r="130" hidden="1" spans="1:87">
      <c r="A130" s="3"/>
      <c r="B130" s="7" t="s">
        <v>449</v>
      </c>
      <c r="C130" s="7" t="s">
        <v>449</v>
      </c>
      <c r="D130" s="3"/>
      <c r="E130" s="3"/>
      <c r="F130" s="3"/>
      <c r="G130" s="3"/>
      <c r="H130" s="9"/>
      <c r="I130" s="13" t="s">
        <v>61</v>
      </c>
      <c r="J130" s="16">
        <v>1547000</v>
      </c>
      <c r="K130" s="3"/>
      <c r="L130" s="3"/>
      <c r="M130" s="3"/>
      <c r="N130" s="3"/>
      <c r="O130" t="e">
        <f t="shared" si="93"/>
        <v>#DIV/0!</v>
      </c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>
        <f t="shared" ref="AG130:AG174" si="94">(W130+Y130+AA130+AC130+AE130)/5</f>
        <v>0</v>
      </c>
      <c r="AI130" t="e">
        <f t="shared" ref="AI130:AI174" si="95">STDEVPA(W130,Y130,AA130,AC130,AE130)</f>
        <v>#DIV/0!</v>
      </c>
      <c r="AJ130" s="3"/>
      <c r="AK130" s="3"/>
      <c r="AL130" s="3"/>
      <c r="AM130" s="3"/>
      <c r="AN130" s="3"/>
      <c r="AO130" t="e">
        <f t="shared" si="92"/>
        <v>#DIV/0!</v>
      </c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</row>
    <row r="131" hidden="1" spans="1:87">
      <c r="A131" s="3"/>
      <c r="B131" s="7" t="s">
        <v>450</v>
      </c>
      <c r="C131" s="7" t="s">
        <v>450</v>
      </c>
      <c r="D131" s="3"/>
      <c r="E131" s="3"/>
      <c r="F131" s="3"/>
      <c r="G131" s="3"/>
      <c r="H131" s="9"/>
      <c r="I131" s="13" t="s">
        <v>61</v>
      </c>
      <c r="J131" s="16">
        <v>1547000</v>
      </c>
      <c r="K131" s="3"/>
      <c r="L131" s="3"/>
      <c r="M131" s="3"/>
      <c r="N131" s="3"/>
      <c r="O131" t="e">
        <f t="shared" si="93"/>
        <v>#DIV/0!</v>
      </c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>
        <f t="shared" si="94"/>
        <v>0</v>
      </c>
      <c r="AI131" t="e">
        <f t="shared" si="95"/>
        <v>#DIV/0!</v>
      </c>
      <c r="AJ131" s="3"/>
      <c r="AK131" s="3"/>
      <c r="AL131" s="3"/>
      <c r="AM131" s="3"/>
      <c r="AN131" s="3"/>
      <c r="AO131" t="e">
        <f t="shared" si="92"/>
        <v>#DIV/0!</v>
      </c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</row>
    <row r="132" hidden="1" spans="1:87">
      <c r="A132" s="3"/>
      <c r="B132" s="7" t="s">
        <v>451</v>
      </c>
      <c r="C132" s="7" t="s">
        <v>451</v>
      </c>
      <c r="D132" s="3"/>
      <c r="E132" s="3"/>
      <c r="F132" s="3"/>
      <c r="G132" s="3"/>
      <c r="H132" s="9"/>
      <c r="I132" s="13" t="s">
        <v>61</v>
      </c>
      <c r="J132" s="16">
        <v>1547000</v>
      </c>
      <c r="K132" s="3"/>
      <c r="L132" s="3"/>
      <c r="M132" s="3"/>
      <c r="N132" s="3"/>
      <c r="O132" t="e">
        <f t="shared" si="93"/>
        <v>#DIV/0!</v>
      </c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>
        <f t="shared" si="94"/>
        <v>0</v>
      </c>
      <c r="AI132" t="e">
        <f t="shared" si="95"/>
        <v>#DIV/0!</v>
      </c>
      <c r="AJ132" s="3"/>
      <c r="AK132" s="3"/>
      <c r="AL132" s="3"/>
      <c r="AM132" s="3"/>
      <c r="AN132" s="3"/>
      <c r="AO132" t="e">
        <f t="shared" si="92"/>
        <v>#DIV/0!</v>
      </c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</row>
    <row r="133" hidden="1" spans="1:87">
      <c r="A133" s="3"/>
      <c r="B133" s="7" t="s">
        <v>452</v>
      </c>
      <c r="C133" s="7" t="s">
        <v>452</v>
      </c>
      <c r="D133" s="3"/>
      <c r="E133" s="3"/>
      <c r="F133" s="3"/>
      <c r="G133" s="3"/>
      <c r="H133" s="9"/>
      <c r="I133" s="13" t="s">
        <v>61</v>
      </c>
      <c r="J133" s="16">
        <v>1547000</v>
      </c>
      <c r="K133" s="3"/>
      <c r="L133" s="3"/>
      <c r="M133" s="3"/>
      <c r="N133" s="3"/>
      <c r="O133" t="e">
        <f t="shared" si="93"/>
        <v>#DIV/0!</v>
      </c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>
        <f t="shared" si="94"/>
        <v>0</v>
      </c>
      <c r="AI133" t="e">
        <f t="shared" si="95"/>
        <v>#DIV/0!</v>
      </c>
      <c r="AJ133" s="3"/>
      <c r="AK133" s="3"/>
      <c r="AL133" s="3"/>
      <c r="AM133" s="3"/>
      <c r="AN133" s="3"/>
      <c r="AO133" t="e">
        <f t="shared" si="92"/>
        <v>#DIV/0!</v>
      </c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</row>
    <row r="134" hidden="1" spans="1:87">
      <c r="A134" s="3"/>
      <c r="B134" s="7" t="s">
        <v>453</v>
      </c>
      <c r="C134" s="7" t="s">
        <v>453</v>
      </c>
      <c r="D134" s="3"/>
      <c r="E134" s="3"/>
      <c r="F134" s="3"/>
      <c r="G134" s="3"/>
      <c r="H134" s="9"/>
      <c r="I134" s="13" t="s">
        <v>61</v>
      </c>
      <c r="J134" s="16">
        <v>1547000</v>
      </c>
      <c r="K134" s="3"/>
      <c r="L134" s="3"/>
      <c r="M134" s="3"/>
      <c r="N134" s="3"/>
      <c r="O134" t="e">
        <f t="shared" si="93"/>
        <v>#DIV/0!</v>
      </c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>
        <f t="shared" si="94"/>
        <v>0</v>
      </c>
      <c r="AI134" t="e">
        <f t="shared" si="95"/>
        <v>#DIV/0!</v>
      </c>
      <c r="AJ134" s="3"/>
      <c r="AK134" s="3"/>
      <c r="AL134" s="3"/>
      <c r="AM134" s="3"/>
      <c r="AN134" s="3"/>
      <c r="AO134" t="e">
        <f t="shared" si="92"/>
        <v>#DIV/0!</v>
      </c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</row>
    <row r="135" hidden="1" spans="1:87">
      <c r="A135" s="3"/>
      <c r="B135" s="7" t="s">
        <v>454</v>
      </c>
      <c r="C135" s="7" t="s">
        <v>454</v>
      </c>
      <c r="D135" s="3"/>
      <c r="E135" s="3"/>
      <c r="F135" s="3"/>
      <c r="G135" s="3"/>
      <c r="H135" s="9"/>
      <c r="I135" s="13" t="s">
        <v>61</v>
      </c>
      <c r="J135" s="16">
        <v>1547000</v>
      </c>
      <c r="K135" s="3"/>
      <c r="L135" s="3"/>
      <c r="M135" s="3"/>
      <c r="N135" s="3"/>
      <c r="O135" t="e">
        <f t="shared" si="93"/>
        <v>#DIV/0!</v>
      </c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>
        <f t="shared" si="94"/>
        <v>0</v>
      </c>
      <c r="AI135" t="e">
        <f t="shared" si="95"/>
        <v>#DIV/0!</v>
      </c>
      <c r="AJ135" s="3"/>
      <c r="AK135" s="3"/>
      <c r="AL135" s="3"/>
      <c r="AM135" s="3"/>
      <c r="AN135" s="3"/>
      <c r="AO135" t="e">
        <f t="shared" si="92"/>
        <v>#DIV/0!</v>
      </c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</row>
    <row r="136" hidden="1" spans="1:87">
      <c r="A136" s="3"/>
      <c r="B136" s="7" t="s">
        <v>455</v>
      </c>
      <c r="C136" s="7" t="s">
        <v>455</v>
      </c>
      <c r="D136" s="3"/>
      <c r="E136" s="3"/>
      <c r="F136" s="3"/>
      <c r="G136" s="3"/>
      <c r="H136" s="9"/>
      <c r="I136" s="13" t="s">
        <v>61</v>
      </c>
      <c r="J136" s="16">
        <v>1547000</v>
      </c>
      <c r="K136" s="3"/>
      <c r="L136" s="3"/>
      <c r="M136" s="3"/>
      <c r="N136" s="3"/>
      <c r="O136" t="e">
        <f t="shared" si="93"/>
        <v>#DIV/0!</v>
      </c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>
        <f t="shared" si="94"/>
        <v>0</v>
      </c>
      <c r="AI136" t="e">
        <f t="shared" si="95"/>
        <v>#DIV/0!</v>
      </c>
      <c r="AJ136" s="3"/>
      <c r="AK136" s="3"/>
      <c r="AL136" s="3"/>
      <c r="AM136" s="3"/>
      <c r="AN136" s="3"/>
      <c r="AO136" t="e">
        <f t="shared" si="92"/>
        <v>#DIV/0!</v>
      </c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</row>
    <row r="137" hidden="1" spans="1:87">
      <c r="A137" s="3"/>
      <c r="B137" s="7" t="s">
        <v>456</v>
      </c>
      <c r="C137" s="7" t="s">
        <v>456</v>
      </c>
      <c r="D137" s="3"/>
      <c r="E137" s="3"/>
      <c r="F137" s="3"/>
      <c r="G137" s="3"/>
      <c r="H137" s="9"/>
      <c r="I137" s="13" t="s">
        <v>61</v>
      </c>
      <c r="J137" s="16">
        <v>1547000</v>
      </c>
      <c r="K137" s="3"/>
      <c r="L137" s="3"/>
      <c r="M137" s="3"/>
      <c r="N137" s="3"/>
      <c r="O137" t="e">
        <f t="shared" si="93"/>
        <v>#DIV/0!</v>
      </c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>
        <f t="shared" si="94"/>
        <v>0</v>
      </c>
      <c r="AI137" t="e">
        <f t="shared" si="95"/>
        <v>#DIV/0!</v>
      </c>
      <c r="AJ137" s="3"/>
      <c r="AK137" s="3"/>
      <c r="AL137" s="3"/>
      <c r="AM137" s="3"/>
      <c r="AN137" s="3"/>
      <c r="AO137" t="e">
        <f t="shared" si="92"/>
        <v>#DIV/0!</v>
      </c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</row>
    <row r="138" hidden="1" spans="1:87">
      <c r="A138" s="3"/>
      <c r="B138" s="7" t="s">
        <v>457</v>
      </c>
      <c r="C138" s="7" t="s">
        <v>457</v>
      </c>
      <c r="D138" s="3"/>
      <c r="E138" s="3"/>
      <c r="F138" s="3"/>
      <c r="G138" s="3"/>
      <c r="H138" s="9"/>
      <c r="I138" s="13" t="s">
        <v>61</v>
      </c>
      <c r="J138" s="16">
        <v>1547000</v>
      </c>
      <c r="K138" s="3"/>
      <c r="L138" s="3"/>
      <c r="M138" s="3"/>
      <c r="N138" s="3"/>
      <c r="O138" t="e">
        <f t="shared" si="93"/>
        <v>#DIV/0!</v>
      </c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>
        <f t="shared" si="94"/>
        <v>0</v>
      </c>
      <c r="AI138" t="e">
        <f t="shared" si="95"/>
        <v>#DIV/0!</v>
      </c>
      <c r="AJ138" s="3"/>
      <c r="AK138" s="3"/>
      <c r="AL138" s="3"/>
      <c r="AM138" s="3"/>
      <c r="AN138" s="3"/>
      <c r="AO138" t="e">
        <f t="shared" si="92"/>
        <v>#DIV/0!</v>
      </c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</row>
    <row r="139" hidden="1" spans="1:87">
      <c r="A139" s="3"/>
      <c r="B139" s="7" t="s">
        <v>458</v>
      </c>
      <c r="C139" s="7" t="s">
        <v>458</v>
      </c>
      <c r="D139" s="3"/>
      <c r="E139" s="3"/>
      <c r="F139" s="3"/>
      <c r="G139" s="3"/>
      <c r="H139" s="9"/>
      <c r="I139" s="13" t="s">
        <v>61</v>
      </c>
      <c r="J139" s="16">
        <v>1547000</v>
      </c>
      <c r="K139" s="3"/>
      <c r="L139" s="3"/>
      <c r="M139" s="3"/>
      <c r="N139" s="3"/>
      <c r="O139" t="e">
        <f t="shared" si="93"/>
        <v>#DIV/0!</v>
      </c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>
        <f t="shared" si="94"/>
        <v>0</v>
      </c>
      <c r="AI139" t="e">
        <f t="shared" si="95"/>
        <v>#DIV/0!</v>
      </c>
      <c r="AJ139" s="3"/>
      <c r="AK139" s="3"/>
      <c r="AL139" s="3"/>
      <c r="AM139" s="3"/>
      <c r="AN139" s="3"/>
      <c r="AO139" t="e">
        <f t="shared" si="92"/>
        <v>#DIV/0!</v>
      </c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</row>
    <row r="140" hidden="1" spans="1:87">
      <c r="A140" s="3"/>
      <c r="B140" s="7" t="s">
        <v>459</v>
      </c>
      <c r="C140" s="7" t="s">
        <v>459</v>
      </c>
      <c r="D140" s="3"/>
      <c r="E140" s="3"/>
      <c r="F140" s="3"/>
      <c r="G140" s="3"/>
      <c r="H140" s="9"/>
      <c r="I140" s="13" t="s">
        <v>61</v>
      </c>
      <c r="J140" s="16">
        <v>1547000</v>
      </c>
      <c r="K140" s="3"/>
      <c r="L140" s="3"/>
      <c r="M140" s="3"/>
      <c r="N140" s="3"/>
      <c r="O140" t="e">
        <f t="shared" si="93"/>
        <v>#DIV/0!</v>
      </c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>
        <f t="shared" si="94"/>
        <v>0</v>
      </c>
      <c r="AI140" t="e">
        <f t="shared" si="95"/>
        <v>#DIV/0!</v>
      </c>
      <c r="AJ140" s="3"/>
      <c r="AK140" s="3"/>
      <c r="AL140" s="3"/>
      <c r="AM140" s="3"/>
      <c r="AN140" s="3"/>
      <c r="AO140" t="e">
        <f t="shared" si="92"/>
        <v>#DIV/0!</v>
      </c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</row>
    <row r="141" hidden="1" spans="1:87">
      <c r="A141" s="3"/>
      <c r="B141" s="7" t="s">
        <v>460</v>
      </c>
      <c r="C141" s="7" t="s">
        <v>460</v>
      </c>
      <c r="D141" s="3"/>
      <c r="E141" s="3"/>
      <c r="F141" s="3"/>
      <c r="G141" s="3"/>
      <c r="H141" s="9"/>
      <c r="I141" s="13" t="s">
        <v>61</v>
      </c>
      <c r="J141" s="16">
        <v>1547000</v>
      </c>
      <c r="K141" s="3"/>
      <c r="L141" s="3"/>
      <c r="M141" s="3"/>
      <c r="N141" s="3"/>
      <c r="O141" t="e">
        <f t="shared" si="93"/>
        <v>#DIV/0!</v>
      </c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>
        <f t="shared" si="94"/>
        <v>0</v>
      </c>
      <c r="AI141" t="e">
        <f t="shared" si="95"/>
        <v>#DIV/0!</v>
      </c>
      <c r="AJ141" s="3"/>
      <c r="AK141" s="3"/>
      <c r="AL141" s="3"/>
      <c r="AM141" s="3"/>
      <c r="AN141" s="3"/>
      <c r="AO141" t="e">
        <f t="shared" si="92"/>
        <v>#DIV/0!</v>
      </c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</row>
    <row r="142" hidden="1" spans="1:87">
      <c r="A142" s="3"/>
      <c r="B142" s="7" t="s">
        <v>461</v>
      </c>
      <c r="C142" s="7" t="s">
        <v>461</v>
      </c>
      <c r="D142" s="3"/>
      <c r="E142" s="3"/>
      <c r="F142" s="3"/>
      <c r="G142" s="3"/>
      <c r="H142" s="9"/>
      <c r="I142" s="13" t="s">
        <v>61</v>
      </c>
      <c r="J142" s="16">
        <v>1547000</v>
      </c>
      <c r="K142" s="3"/>
      <c r="L142" s="3"/>
      <c r="M142" s="3"/>
      <c r="N142" s="3"/>
      <c r="O142" t="e">
        <f t="shared" si="93"/>
        <v>#DIV/0!</v>
      </c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>
        <f t="shared" si="94"/>
        <v>0</v>
      </c>
      <c r="AI142" t="e">
        <f t="shared" si="95"/>
        <v>#DIV/0!</v>
      </c>
      <c r="AJ142" s="3"/>
      <c r="AK142" s="3"/>
      <c r="AL142" s="3"/>
      <c r="AM142" s="3"/>
      <c r="AN142" s="3"/>
      <c r="AO142" t="e">
        <f t="shared" si="92"/>
        <v>#DIV/0!</v>
      </c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</row>
    <row r="143" hidden="1" spans="1:87">
      <c r="A143" s="3"/>
      <c r="B143" s="7" t="s">
        <v>462</v>
      </c>
      <c r="C143" s="7" t="s">
        <v>462</v>
      </c>
      <c r="D143" s="3"/>
      <c r="E143" s="3"/>
      <c r="F143" s="3"/>
      <c r="G143" s="3"/>
      <c r="H143" s="9"/>
      <c r="I143" s="13" t="s">
        <v>61</v>
      </c>
      <c r="J143" s="16">
        <v>1547000</v>
      </c>
      <c r="K143" s="3"/>
      <c r="L143" s="3"/>
      <c r="M143" s="3"/>
      <c r="N143" s="3"/>
      <c r="O143" t="e">
        <f t="shared" si="93"/>
        <v>#DIV/0!</v>
      </c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>
        <f t="shared" si="94"/>
        <v>0</v>
      </c>
      <c r="AI143" t="e">
        <f t="shared" si="95"/>
        <v>#DIV/0!</v>
      </c>
      <c r="AJ143" s="3"/>
      <c r="AK143" s="3"/>
      <c r="AL143" s="3"/>
      <c r="AM143" s="3"/>
      <c r="AN143" s="3"/>
      <c r="AO143" t="e">
        <f t="shared" si="92"/>
        <v>#DIV/0!</v>
      </c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</row>
    <row r="144" hidden="1" spans="1:87">
      <c r="A144" s="3"/>
      <c r="B144" s="7" t="s">
        <v>463</v>
      </c>
      <c r="C144" s="7" t="s">
        <v>463</v>
      </c>
      <c r="D144" s="3"/>
      <c r="E144" s="3"/>
      <c r="F144" s="3"/>
      <c r="G144" s="3"/>
      <c r="H144" s="9"/>
      <c r="I144" s="13" t="s">
        <v>61</v>
      </c>
      <c r="J144" s="16">
        <v>1547000</v>
      </c>
      <c r="K144" s="3"/>
      <c r="L144" s="3"/>
      <c r="M144" s="3"/>
      <c r="N144" s="3"/>
      <c r="O144" t="e">
        <f t="shared" si="93"/>
        <v>#DIV/0!</v>
      </c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>
        <f t="shared" si="94"/>
        <v>0</v>
      </c>
      <c r="AI144" t="e">
        <f t="shared" si="95"/>
        <v>#DIV/0!</v>
      </c>
      <c r="AJ144" s="3"/>
      <c r="AK144" s="3"/>
      <c r="AL144" s="3"/>
      <c r="AM144" s="3"/>
      <c r="AN144" s="3"/>
      <c r="AO144" t="e">
        <f t="shared" si="92"/>
        <v>#DIV/0!</v>
      </c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</row>
    <row r="145" hidden="1" spans="1:87">
      <c r="A145" s="3"/>
      <c r="B145" s="7" t="s">
        <v>464</v>
      </c>
      <c r="C145" s="7" t="s">
        <v>464</v>
      </c>
      <c r="D145" s="3"/>
      <c r="E145" s="3"/>
      <c r="F145" s="3"/>
      <c r="G145" s="3"/>
      <c r="H145" s="9"/>
      <c r="I145" s="13" t="s">
        <v>61</v>
      </c>
      <c r="J145" s="16">
        <v>1547000</v>
      </c>
      <c r="K145" s="3"/>
      <c r="L145" s="3"/>
      <c r="M145" s="3"/>
      <c r="N145" s="3"/>
      <c r="O145" t="e">
        <f t="shared" si="93"/>
        <v>#DIV/0!</v>
      </c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>
        <f t="shared" si="94"/>
        <v>0</v>
      </c>
      <c r="AI145" t="e">
        <f t="shared" si="95"/>
        <v>#DIV/0!</v>
      </c>
      <c r="AJ145" s="3"/>
      <c r="AK145" s="3"/>
      <c r="AL145" s="3"/>
      <c r="AM145" s="3"/>
      <c r="AN145" s="3"/>
      <c r="AO145" t="e">
        <f t="shared" si="92"/>
        <v>#DIV/0!</v>
      </c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</row>
    <row r="146" hidden="1" spans="1:87">
      <c r="A146" s="3"/>
      <c r="B146" s="7" t="s">
        <v>465</v>
      </c>
      <c r="C146" s="7" t="s">
        <v>465</v>
      </c>
      <c r="D146" s="3"/>
      <c r="E146" s="3"/>
      <c r="F146" s="3"/>
      <c r="G146" s="3"/>
      <c r="H146" s="9"/>
      <c r="I146" s="13" t="s">
        <v>61</v>
      </c>
      <c r="J146" s="16">
        <v>1547000</v>
      </c>
      <c r="K146" s="3"/>
      <c r="L146" s="3"/>
      <c r="M146" s="3"/>
      <c r="N146" s="3"/>
      <c r="O146" t="e">
        <f t="shared" si="93"/>
        <v>#DIV/0!</v>
      </c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>
        <f t="shared" si="94"/>
        <v>0</v>
      </c>
      <c r="AI146" t="e">
        <f t="shared" si="95"/>
        <v>#DIV/0!</v>
      </c>
      <c r="AJ146" s="3"/>
      <c r="AK146" s="3"/>
      <c r="AL146" s="3"/>
      <c r="AM146" s="3"/>
      <c r="AN146" s="3"/>
      <c r="AO146" t="e">
        <f t="shared" si="92"/>
        <v>#DIV/0!</v>
      </c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</row>
    <row r="147" hidden="1" spans="1:87">
      <c r="A147" s="3"/>
      <c r="B147" s="7" t="s">
        <v>466</v>
      </c>
      <c r="C147" s="7" t="s">
        <v>466</v>
      </c>
      <c r="D147" s="3"/>
      <c r="E147" s="3"/>
      <c r="F147" s="3"/>
      <c r="G147" s="3"/>
      <c r="H147" s="9"/>
      <c r="I147" s="13" t="s">
        <v>61</v>
      </c>
      <c r="J147" s="16">
        <v>1547000</v>
      </c>
      <c r="K147" s="3"/>
      <c r="M147" s="3"/>
      <c r="N147" s="3"/>
      <c r="O147" t="e">
        <f t="shared" si="93"/>
        <v>#DIV/0!</v>
      </c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>
        <f t="shared" si="94"/>
        <v>0</v>
      </c>
      <c r="AI147" t="e">
        <f t="shared" si="95"/>
        <v>#DIV/0!</v>
      </c>
      <c r="AJ147" s="3"/>
      <c r="AK147" s="3"/>
      <c r="AL147" s="3"/>
      <c r="AM147" s="3"/>
      <c r="AN147" s="3"/>
      <c r="AO147" t="e">
        <f t="shared" si="92"/>
        <v>#DIV/0!</v>
      </c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</row>
    <row r="148" hidden="1" spans="1:87">
      <c r="A148" s="3"/>
      <c r="B148" s="7" t="s">
        <v>467</v>
      </c>
      <c r="C148" s="7" t="s">
        <v>467</v>
      </c>
      <c r="D148" s="3"/>
      <c r="E148" s="3"/>
      <c r="F148" s="3"/>
      <c r="G148" s="3"/>
      <c r="H148" s="9"/>
      <c r="I148" s="13" t="s">
        <v>61</v>
      </c>
      <c r="J148" s="16">
        <v>1547000</v>
      </c>
      <c r="K148" s="3"/>
      <c r="M148" s="3"/>
      <c r="N148" s="3"/>
      <c r="O148" t="e">
        <f t="shared" si="93"/>
        <v>#DIV/0!</v>
      </c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>
        <f t="shared" si="94"/>
        <v>0</v>
      </c>
      <c r="AI148" t="e">
        <f t="shared" si="95"/>
        <v>#DIV/0!</v>
      </c>
      <c r="AJ148" s="3"/>
      <c r="AK148" s="3"/>
      <c r="AL148" s="3"/>
      <c r="AM148" s="3"/>
      <c r="AN148" s="3"/>
      <c r="AO148" t="e">
        <f t="shared" si="92"/>
        <v>#DIV/0!</v>
      </c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</row>
    <row r="149" hidden="1" spans="1:87">
      <c r="A149" s="3"/>
      <c r="B149" s="7" t="s">
        <v>468</v>
      </c>
      <c r="C149" s="7" t="s">
        <v>468</v>
      </c>
      <c r="D149" s="3"/>
      <c r="E149" s="3"/>
      <c r="F149" s="3"/>
      <c r="G149" s="3"/>
      <c r="H149" s="9"/>
      <c r="I149" s="13" t="s">
        <v>61</v>
      </c>
      <c r="J149" s="16">
        <v>1547000</v>
      </c>
      <c r="K149" s="3"/>
      <c r="M149" s="3"/>
      <c r="N149" s="3"/>
      <c r="O149" t="e">
        <f t="shared" si="93"/>
        <v>#DIV/0!</v>
      </c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>
        <f t="shared" si="94"/>
        <v>0</v>
      </c>
      <c r="AI149" t="e">
        <f t="shared" si="95"/>
        <v>#DIV/0!</v>
      </c>
      <c r="AJ149" s="3"/>
      <c r="AK149" s="3"/>
      <c r="AL149" s="3"/>
      <c r="AM149" s="3"/>
      <c r="AN149" s="3"/>
      <c r="AO149" t="e">
        <f t="shared" si="92"/>
        <v>#DIV/0!</v>
      </c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</row>
    <row r="150" hidden="1" spans="1:87">
      <c r="A150" s="3"/>
      <c r="B150" s="7" t="s">
        <v>469</v>
      </c>
      <c r="C150" s="7" t="s">
        <v>469</v>
      </c>
      <c r="D150" s="3"/>
      <c r="E150" s="3"/>
      <c r="F150" s="3"/>
      <c r="G150" s="3"/>
      <c r="H150" s="9"/>
      <c r="I150" s="13" t="s">
        <v>61</v>
      </c>
      <c r="J150" s="16">
        <v>1547000</v>
      </c>
      <c r="K150" s="3"/>
      <c r="M150" s="3"/>
      <c r="N150" s="3"/>
      <c r="O150" t="e">
        <f t="shared" si="93"/>
        <v>#DIV/0!</v>
      </c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>
        <f t="shared" si="94"/>
        <v>0</v>
      </c>
      <c r="AI150" t="e">
        <f t="shared" si="95"/>
        <v>#DIV/0!</v>
      </c>
      <c r="AJ150" s="3"/>
      <c r="AK150" s="3"/>
      <c r="AL150" s="3"/>
      <c r="AM150" s="3"/>
      <c r="AN150" s="3"/>
      <c r="AO150" t="e">
        <f t="shared" si="92"/>
        <v>#DIV/0!</v>
      </c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</row>
    <row r="151" hidden="1" spans="1:87">
      <c r="A151" s="3"/>
      <c r="B151" s="7" t="s">
        <v>470</v>
      </c>
      <c r="C151" s="7" t="s">
        <v>470</v>
      </c>
      <c r="D151" s="3"/>
      <c r="E151" s="3"/>
      <c r="F151" s="3"/>
      <c r="G151" s="3"/>
      <c r="H151" s="9"/>
      <c r="I151" s="13" t="s">
        <v>61</v>
      </c>
      <c r="J151" s="16">
        <v>1547000</v>
      </c>
      <c r="K151" s="3"/>
      <c r="M151" s="3"/>
      <c r="N151" s="3"/>
      <c r="O151" t="e">
        <f t="shared" si="93"/>
        <v>#DIV/0!</v>
      </c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>
        <f t="shared" si="94"/>
        <v>0</v>
      </c>
      <c r="AI151" t="e">
        <f t="shared" si="95"/>
        <v>#DIV/0!</v>
      </c>
      <c r="AJ151" s="3"/>
      <c r="AK151" s="3"/>
      <c r="AL151" s="3"/>
      <c r="AM151" s="3"/>
      <c r="AN151" s="3"/>
      <c r="AO151" t="e">
        <f t="shared" si="92"/>
        <v>#DIV/0!</v>
      </c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</row>
    <row r="152" hidden="1" spans="1:87">
      <c r="A152" s="3"/>
      <c r="B152" s="7" t="s">
        <v>471</v>
      </c>
      <c r="C152" s="7" t="s">
        <v>471</v>
      </c>
      <c r="D152" s="3"/>
      <c r="E152" s="3"/>
      <c r="F152" s="3"/>
      <c r="G152" s="3"/>
      <c r="H152" s="9"/>
      <c r="I152" s="13" t="s">
        <v>61</v>
      </c>
      <c r="J152" s="16">
        <v>1547000</v>
      </c>
      <c r="K152" s="3"/>
      <c r="M152" s="3"/>
      <c r="N152" s="3"/>
      <c r="O152" t="e">
        <f t="shared" si="93"/>
        <v>#DIV/0!</v>
      </c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>
        <f t="shared" si="94"/>
        <v>0</v>
      </c>
      <c r="AI152" t="e">
        <f t="shared" si="95"/>
        <v>#DIV/0!</v>
      </c>
      <c r="AJ152" s="3"/>
      <c r="AK152" s="3"/>
      <c r="AL152" s="3"/>
      <c r="AM152" s="3"/>
      <c r="AN152" s="3"/>
      <c r="AO152" t="e">
        <f t="shared" si="92"/>
        <v>#DIV/0!</v>
      </c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</row>
    <row r="153" hidden="1" spans="1:87">
      <c r="A153" s="3"/>
      <c r="B153" s="7" t="s">
        <v>472</v>
      </c>
      <c r="C153" s="7" t="s">
        <v>472</v>
      </c>
      <c r="D153" s="3"/>
      <c r="E153" s="3"/>
      <c r="F153" s="3"/>
      <c r="G153" s="3"/>
      <c r="H153" s="9"/>
      <c r="I153" s="13" t="s">
        <v>61</v>
      </c>
      <c r="J153" s="16">
        <v>1547000</v>
      </c>
      <c r="K153" s="3"/>
      <c r="M153" s="3"/>
      <c r="N153" s="3"/>
      <c r="O153" t="e">
        <f t="shared" si="93"/>
        <v>#DIV/0!</v>
      </c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>
        <f t="shared" si="94"/>
        <v>0</v>
      </c>
      <c r="AI153" t="e">
        <f t="shared" si="95"/>
        <v>#DIV/0!</v>
      </c>
      <c r="AJ153" s="3"/>
      <c r="AK153" s="3"/>
      <c r="AL153" s="3"/>
      <c r="AM153" s="3"/>
      <c r="AN153" s="3"/>
      <c r="AO153" t="e">
        <f t="shared" si="92"/>
        <v>#DIV/0!</v>
      </c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</row>
    <row r="154" hidden="1" spans="1:87">
      <c r="A154" s="3"/>
      <c r="B154" s="7" t="s">
        <v>473</v>
      </c>
      <c r="C154" s="7" t="s">
        <v>473</v>
      </c>
      <c r="D154" s="3"/>
      <c r="E154" s="3"/>
      <c r="F154" s="3"/>
      <c r="G154" s="3"/>
      <c r="H154" s="9"/>
      <c r="I154" s="13" t="s">
        <v>61</v>
      </c>
      <c r="J154" s="16">
        <v>1547000</v>
      </c>
      <c r="K154" s="3"/>
      <c r="M154" s="3"/>
      <c r="N154" s="3"/>
      <c r="O154" t="e">
        <f t="shared" si="93"/>
        <v>#DIV/0!</v>
      </c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>
        <f t="shared" si="94"/>
        <v>0</v>
      </c>
      <c r="AI154" t="e">
        <f t="shared" si="95"/>
        <v>#DIV/0!</v>
      </c>
      <c r="AJ154" s="3"/>
      <c r="AK154" s="3"/>
      <c r="AL154" s="3"/>
      <c r="AM154" s="3"/>
      <c r="AN154" s="3"/>
      <c r="AO154" t="e">
        <f t="shared" si="92"/>
        <v>#DIV/0!</v>
      </c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</row>
    <row r="155" hidden="1" spans="1:88">
      <c r="A155" s="3"/>
      <c r="B155" s="7" t="s">
        <v>474</v>
      </c>
      <c r="C155" s="7" t="s">
        <v>474</v>
      </c>
      <c r="D155" s="3"/>
      <c r="G155" s="3"/>
      <c r="H155" s="9"/>
      <c r="I155" s="13" t="s">
        <v>61</v>
      </c>
      <c r="J155" s="16">
        <v>1547000</v>
      </c>
      <c r="K155" s="3"/>
      <c r="M155" s="3"/>
      <c r="N155" s="3"/>
      <c r="O155" t="e">
        <f t="shared" si="93"/>
        <v>#DIV/0!</v>
      </c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>
        <f t="shared" si="94"/>
        <v>0</v>
      </c>
      <c r="AI155" t="e">
        <f t="shared" si="95"/>
        <v>#DIV/0!</v>
      </c>
      <c r="AJ155" s="3"/>
      <c r="AK155" s="3"/>
      <c r="AL155" s="3"/>
      <c r="AM155" s="3"/>
      <c r="AN155" s="3"/>
      <c r="AO155" t="e">
        <f t="shared" si="92"/>
        <v>#DIV/0!</v>
      </c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3">
        <v>0.3714</v>
      </c>
    </row>
    <row r="156" hidden="1" spans="1:87">
      <c r="A156" s="3"/>
      <c r="B156" s="7" t="s">
        <v>475</v>
      </c>
      <c r="C156" s="7" t="s">
        <v>475</v>
      </c>
      <c r="D156" s="3"/>
      <c r="E156" s="3"/>
      <c r="F156" s="3"/>
      <c r="G156" s="3"/>
      <c r="H156" s="9"/>
      <c r="I156" s="13" t="s">
        <v>61</v>
      </c>
      <c r="J156" s="16">
        <v>1547000</v>
      </c>
      <c r="K156" s="3"/>
      <c r="M156" s="3"/>
      <c r="N156" s="3"/>
      <c r="O156" t="e">
        <f t="shared" si="93"/>
        <v>#DIV/0!</v>
      </c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>
        <f t="shared" si="94"/>
        <v>0</v>
      </c>
      <c r="AI156" t="e">
        <f t="shared" si="95"/>
        <v>#DIV/0!</v>
      </c>
      <c r="AJ156" s="3"/>
      <c r="AK156" s="3"/>
      <c r="AL156" s="3"/>
      <c r="AM156" s="3"/>
      <c r="AN156" s="3"/>
      <c r="AO156" t="e">
        <f t="shared" si="92"/>
        <v>#DIV/0!</v>
      </c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</row>
    <row r="157" hidden="1" spans="1:87">
      <c r="A157" s="3"/>
      <c r="B157" s="7" t="s">
        <v>476</v>
      </c>
      <c r="C157" s="7" t="s">
        <v>476</v>
      </c>
      <c r="D157" s="3"/>
      <c r="E157" s="3"/>
      <c r="F157" s="3"/>
      <c r="G157" s="3"/>
      <c r="H157" s="9"/>
      <c r="I157" s="13" t="s">
        <v>61</v>
      </c>
      <c r="J157" s="16">
        <v>1547000</v>
      </c>
      <c r="K157" s="3"/>
      <c r="M157" s="3"/>
      <c r="N157" s="3"/>
      <c r="O157" t="e">
        <f t="shared" si="93"/>
        <v>#DIV/0!</v>
      </c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>
        <f t="shared" si="94"/>
        <v>0</v>
      </c>
      <c r="AI157" t="e">
        <f t="shared" si="95"/>
        <v>#DIV/0!</v>
      </c>
      <c r="AJ157" s="3"/>
      <c r="AK157" s="3"/>
      <c r="AL157" s="3"/>
      <c r="AM157" s="3"/>
      <c r="AN157" s="3"/>
      <c r="AO157" t="e">
        <f t="shared" si="92"/>
        <v>#DIV/0!</v>
      </c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</row>
    <row r="158" hidden="1" spans="1:87">
      <c r="A158" s="3"/>
      <c r="B158" s="7" t="s">
        <v>477</v>
      </c>
      <c r="C158" s="7" t="s">
        <v>477</v>
      </c>
      <c r="D158" s="3"/>
      <c r="E158" s="3"/>
      <c r="F158" s="3"/>
      <c r="G158" s="3"/>
      <c r="H158" s="9"/>
      <c r="I158" s="13" t="s">
        <v>61</v>
      </c>
      <c r="J158" s="16">
        <v>1547000</v>
      </c>
      <c r="K158" s="3"/>
      <c r="L158" s="36"/>
      <c r="M158" s="3"/>
      <c r="N158" s="3"/>
      <c r="O158" t="e">
        <f t="shared" si="93"/>
        <v>#DIV/0!</v>
      </c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>
        <f t="shared" si="94"/>
        <v>0</v>
      </c>
      <c r="AI158" t="e">
        <f t="shared" si="95"/>
        <v>#DIV/0!</v>
      </c>
      <c r="AJ158" s="3"/>
      <c r="AK158" s="3"/>
      <c r="AL158" s="3"/>
      <c r="AM158" s="3"/>
      <c r="AN158" s="3"/>
      <c r="AO158" t="e">
        <f t="shared" si="92"/>
        <v>#DIV/0!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</row>
    <row r="159" hidden="1" spans="1:87">
      <c r="A159" s="3"/>
      <c r="B159" s="7" t="s">
        <v>478</v>
      </c>
      <c r="C159" s="7" t="s">
        <v>478</v>
      </c>
      <c r="D159" s="3"/>
      <c r="E159" s="3"/>
      <c r="F159" s="3"/>
      <c r="G159" s="3"/>
      <c r="H159" s="9"/>
      <c r="I159" s="13" t="s">
        <v>61</v>
      </c>
      <c r="J159" s="16">
        <v>1547000</v>
      </c>
      <c r="K159" s="3"/>
      <c r="M159" s="3"/>
      <c r="N159" s="3"/>
      <c r="O159" t="e">
        <f t="shared" si="93"/>
        <v>#DIV/0!</v>
      </c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>
        <f t="shared" si="94"/>
        <v>0</v>
      </c>
      <c r="AI159" t="e">
        <f t="shared" si="95"/>
        <v>#DIV/0!</v>
      </c>
      <c r="AJ159" s="3"/>
      <c r="AK159" s="3"/>
      <c r="AL159" s="3"/>
      <c r="AM159" s="3"/>
      <c r="AN159" s="3"/>
      <c r="AO159" t="e">
        <f t="shared" ref="AO159:AO175" si="96">AL159/AN159</f>
        <v>#DIV/0!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</row>
    <row r="160" hidden="1" spans="1:87">
      <c r="A160" s="3"/>
      <c r="B160" s="7" t="s">
        <v>479</v>
      </c>
      <c r="C160" s="7" t="s">
        <v>479</v>
      </c>
      <c r="D160" s="3"/>
      <c r="E160" s="3"/>
      <c r="F160" s="3"/>
      <c r="G160" s="3"/>
      <c r="H160" s="9"/>
      <c r="I160" s="13" t="s">
        <v>61</v>
      </c>
      <c r="J160" s="16">
        <v>1547000</v>
      </c>
      <c r="K160" s="3"/>
      <c r="M160" s="3"/>
      <c r="N160" s="3"/>
      <c r="O160" t="e">
        <f t="shared" si="93"/>
        <v>#DIV/0!</v>
      </c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>
        <f t="shared" si="94"/>
        <v>0</v>
      </c>
      <c r="AI160" t="e">
        <f t="shared" si="95"/>
        <v>#DIV/0!</v>
      </c>
      <c r="AJ160" s="3"/>
      <c r="AK160" s="3"/>
      <c r="AL160" s="3"/>
      <c r="AM160" s="3"/>
      <c r="AN160" s="3"/>
      <c r="AO160" t="e">
        <f t="shared" si="96"/>
        <v>#DIV/0!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</row>
    <row r="161" hidden="1" spans="1:87">
      <c r="A161" s="3"/>
      <c r="B161" s="7" t="s">
        <v>480</v>
      </c>
      <c r="C161" s="7" t="s">
        <v>480</v>
      </c>
      <c r="D161" s="3"/>
      <c r="E161" s="3"/>
      <c r="F161" s="12">
        <v>0.003</v>
      </c>
      <c r="G161" s="3"/>
      <c r="H161" s="9"/>
      <c r="I161" s="13" t="s">
        <v>61</v>
      </c>
      <c r="J161" s="16">
        <v>1547000</v>
      </c>
      <c r="K161" s="3"/>
      <c r="M161" s="3"/>
      <c r="N161" s="3"/>
      <c r="O161" t="e">
        <f t="shared" si="93"/>
        <v>#DIV/0!</v>
      </c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>
        <f t="shared" si="94"/>
        <v>0</v>
      </c>
      <c r="AI161" t="e">
        <f t="shared" si="95"/>
        <v>#DIV/0!</v>
      </c>
      <c r="AJ161" s="3"/>
      <c r="AK161" s="3"/>
      <c r="AL161" s="3"/>
      <c r="AM161" s="3"/>
      <c r="AN161" s="3"/>
      <c r="AO161" t="e">
        <f t="shared" si="96"/>
        <v>#DIV/0!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</row>
    <row r="162" hidden="1" spans="1:87">
      <c r="A162" s="3"/>
      <c r="B162" s="7" t="s">
        <v>481</v>
      </c>
      <c r="C162" s="7" t="s">
        <v>481</v>
      </c>
      <c r="D162" s="3"/>
      <c r="E162" s="3"/>
      <c r="F162" s="3"/>
      <c r="G162" s="3"/>
      <c r="H162" s="9"/>
      <c r="I162" s="13" t="s">
        <v>61</v>
      </c>
      <c r="J162" s="16">
        <v>1547000</v>
      </c>
      <c r="K162" s="3"/>
      <c r="M162" s="3"/>
      <c r="N162" s="3"/>
      <c r="O162" t="e">
        <f t="shared" si="93"/>
        <v>#DIV/0!</v>
      </c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>
        <f t="shared" si="94"/>
        <v>0</v>
      </c>
      <c r="AI162" t="e">
        <f t="shared" si="95"/>
        <v>#DIV/0!</v>
      </c>
      <c r="AJ162" s="3"/>
      <c r="AK162" s="3"/>
      <c r="AL162" s="3"/>
      <c r="AM162" s="3"/>
      <c r="AN162" s="3"/>
      <c r="AO162" t="e">
        <f t="shared" si="96"/>
        <v>#DIV/0!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</row>
    <row r="163" hidden="1" spans="1:87">
      <c r="A163" s="3"/>
      <c r="B163" s="7" t="s">
        <v>482</v>
      </c>
      <c r="C163" s="7" t="s">
        <v>482</v>
      </c>
      <c r="D163" s="3"/>
      <c r="E163" s="3"/>
      <c r="F163" s="3"/>
      <c r="G163" s="3"/>
      <c r="H163" s="9"/>
      <c r="I163" s="13" t="s">
        <v>61</v>
      </c>
      <c r="J163" s="16">
        <v>1547000</v>
      </c>
      <c r="K163" s="3"/>
      <c r="M163" s="3"/>
      <c r="N163" s="3"/>
      <c r="O163" t="e">
        <f t="shared" si="93"/>
        <v>#DIV/0!</v>
      </c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>
        <f t="shared" si="94"/>
        <v>0</v>
      </c>
      <c r="AI163" t="e">
        <f t="shared" si="95"/>
        <v>#DIV/0!</v>
      </c>
      <c r="AJ163" s="3"/>
      <c r="AK163" s="3"/>
      <c r="AL163" s="3"/>
      <c r="AM163" s="3"/>
      <c r="AN163" s="3"/>
      <c r="AO163" t="e">
        <f t="shared" si="96"/>
        <v>#DIV/0!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</row>
    <row r="164" hidden="1" spans="1:87">
      <c r="A164" s="3"/>
      <c r="B164" s="7" t="s">
        <v>483</v>
      </c>
      <c r="C164" s="7" t="s">
        <v>483</v>
      </c>
      <c r="D164" s="3"/>
      <c r="E164" s="3"/>
      <c r="F164" s="3"/>
      <c r="G164" s="3"/>
      <c r="H164" s="9"/>
      <c r="I164" s="13" t="s">
        <v>61</v>
      </c>
      <c r="J164" s="16">
        <v>1547000</v>
      </c>
      <c r="K164" s="3"/>
      <c r="M164" s="3"/>
      <c r="N164" s="3"/>
      <c r="O164" t="e">
        <f t="shared" si="93"/>
        <v>#DIV/0!</v>
      </c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>
        <f t="shared" si="94"/>
        <v>0</v>
      </c>
      <c r="AI164" t="e">
        <f t="shared" si="95"/>
        <v>#DIV/0!</v>
      </c>
      <c r="AJ164" s="3"/>
      <c r="AK164" s="3"/>
      <c r="AL164" s="3"/>
      <c r="AM164" s="3"/>
      <c r="AN164" s="3"/>
      <c r="AO164" t="e">
        <f t="shared" si="96"/>
        <v>#DIV/0!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</row>
    <row r="165" hidden="1" spans="1:87">
      <c r="A165" s="3"/>
      <c r="B165" s="7" t="s">
        <v>484</v>
      </c>
      <c r="C165" s="7" t="s">
        <v>484</v>
      </c>
      <c r="D165" s="3"/>
      <c r="E165" s="3"/>
      <c r="F165" s="3"/>
      <c r="G165" s="3"/>
      <c r="H165" s="9"/>
      <c r="I165" s="13" t="s">
        <v>61</v>
      </c>
      <c r="J165" s="16">
        <v>1547000</v>
      </c>
      <c r="K165" s="3"/>
      <c r="M165" s="3"/>
      <c r="N165" s="3"/>
      <c r="O165" t="e">
        <f t="shared" si="93"/>
        <v>#DIV/0!</v>
      </c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>
        <f t="shared" si="94"/>
        <v>0</v>
      </c>
      <c r="AI165" t="e">
        <f t="shared" si="95"/>
        <v>#DIV/0!</v>
      </c>
      <c r="AJ165" s="3"/>
      <c r="AK165" s="3"/>
      <c r="AL165" s="3"/>
      <c r="AM165" s="3"/>
      <c r="AN165" s="3"/>
      <c r="AO165" t="e">
        <f t="shared" si="96"/>
        <v>#DIV/0!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</row>
    <row r="166" hidden="1" spans="1:87">
      <c r="A166" s="3"/>
      <c r="B166" s="7" t="s">
        <v>485</v>
      </c>
      <c r="C166" s="7" t="s">
        <v>485</v>
      </c>
      <c r="D166" s="3"/>
      <c r="E166" s="3"/>
      <c r="F166" s="3"/>
      <c r="G166" s="3"/>
      <c r="H166" s="9"/>
      <c r="I166" s="13" t="s">
        <v>61</v>
      </c>
      <c r="J166" s="16">
        <v>1547000</v>
      </c>
      <c r="K166" s="3"/>
      <c r="M166" s="3"/>
      <c r="N166" s="3"/>
      <c r="O166" t="e">
        <f t="shared" si="93"/>
        <v>#DIV/0!</v>
      </c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>
        <f t="shared" si="94"/>
        <v>0</v>
      </c>
      <c r="AI166" t="e">
        <f t="shared" si="95"/>
        <v>#DIV/0!</v>
      </c>
      <c r="AJ166" s="3"/>
      <c r="AK166" s="3"/>
      <c r="AL166" s="3"/>
      <c r="AM166" s="3"/>
      <c r="AN166" s="3"/>
      <c r="AO166" t="e">
        <f t="shared" si="96"/>
        <v>#DIV/0!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</row>
    <row r="167" hidden="1" spans="1:87">
      <c r="A167" s="3"/>
      <c r="B167" s="7" t="s">
        <v>486</v>
      </c>
      <c r="C167" s="7" t="s">
        <v>486</v>
      </c>
      <c r="D167" s="3"/>
      <c r="E167" s="3"/>
      <c r="F167" s="3"/>
      <c r="G167" s="3"/>
      <c r="H167" s="9"/>
      <c r="I167" s="13" t="s">
        <v>61</v>
      </c>
      <c r="J167" s="16">
        <v>1547000</v>
      </c>
      <c r="K167" s="3"/>
      <c r="M167" s="3"/>
      <c r="N167" s="3"/>
      <c r="O167" t="e">
        <f t="shared" si="93"/>
        <v>#DIV/0!</v>
      </c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>
        <f t="shared" si="94"/>
        <v>0</v>
      </c>
      <c r="AI167" t="e">
        <f t="shared" si="95"/>
        <v>#DIV/0!</v>
      </c>
      <c r="AJ167" s="3"/>
      <c r="AK167" s="3"/>
      <c r="AL167" s="3"/>
      <c r="AM167" s="3"/>
      <c r="AN167" s="3"/>
      <c r="AO167" t="e">
        <f t="shared" si="96"/>
        <v>#DIV/0!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</row>
    <row r="168" hidden="1" spans="1:87">
      <c r="A168" s="3"/>
      <c r="B168" s="7" t="s">
        <v>487</v>
      </c>
      <c r="C168" s="7" t="s">
        <v>487</v>
      </c>
      <c r="D168" s="3"/>
      <c r="E168" s="3"/>
      <c r="F168" s="12">
        <v>0.004</v>
      </c>
      <c r="G168" s="3"/>
      <c r="H168" s="9"/>
      <c r="I168" s="13" t="s">
        <v>61</v>
      </c>
      <c r="J168" s="16">
        <v>1547000</v>
      </c>
      <c r="K168" s="3"/>
      <c r="M168" s="3"/>
      <c r="N168" s="3"/>
      <c r="O168" t="e">
        <f t="shared" si="93"/>
        <v>#DIV/0!</v>
      </c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>
        <f t="shared" si="94"/>
        <v>0</v>
      </c>
      <c r="AI168" t="e">
        <f t="shared" si="95"/>
        <v>#DIV/0!</v>
      </c>
      <c r="AJ168" s="3"/>
      <c r="AK168" s="3"/>
      <c r="AL168" s="3"/>
      <c r="AM168" s="3"/>
      <c r="AN168" s="3"/>
      <c r="AO168" t="e">
        <f t="shared" si="96"/>
        <v>#DIV/0!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</row>
    <row r="169" hidden="1" spans="1:87">
      <c r="A169" s="3"/>
      <c r="B169" s="7" t="s">
        <v>488</v>
      </c>
      <c r="C169" s="7" t="s">
        <v>488</v>
      </c>
      <c r="D169" s="3"/>
      <c r="E169" s="3"/>
      <c r="F169" s="3"/>
      <c r="G169" s="3"/>
      <c r="H169" s="9"/>
      <c r="I169" s="13" t="s">
        <v>61</v>
      </c>
      <c r="J169" s="16">
        <v>1547000</v>
      </c>
      <c r="K169" s="3"/>
      <c r="M169" s="3"/>
      <c r="N169" s="3"/>
      <c r="O169" t="e">
        <f t="shared" si="93"/>
        <v>#DIV/0!</v>
      </c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>
        <f t="shared" si="94"/>
        <v>0</v>
      </c>
      <c r="AI169" t="e">
        <f t="shared" si="95"/>
        <v>#DIV/0!</v>
      </c>
      <c r="AJ169" s="3"/>
      <c r="AK169" s="3" t="s">
        <v>61</v>
      </c>
      <c r="AL169" s="3" t="s">
        <v>489</v>
      </c>
      <c r="AM169" s="3"/>
      <c r="AN169" s="3"/>
      <c r="AO169" t="e">
        <f t="shared" si="96"/>
        <v>#VALUE!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</row>
    <row r="170" hidden="1" spans="1:87">
      <c r="A170" s="3"/>
      <c r="B170" s="7" t="s">
        <v>490</v>
      </c>
      <c r="C170" s="7" t="s">
        <v>490</v>
      </c>
      <c r="D170" s="3"/>
      <c r="E170" s="3"/>
      <c r="F170" s="3"/>
      <c r="G170" s="3"/>
      <c r="H170" s="9"/>
      <c r="I170" s="13" t="s">
        <v>61</v>
      </c>
      <c r="J170" s="16">
        <v>1547000</v>
      </c>
      <c r="K170" s="3"/>
      <c r="M170" s="3"/>
      <c r="N170" s="3"/>
      <c r="O170" t="e">
        <f t="shared" si="93"/>
        <v>#DIV/0!</v>
      </c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>
        <f t="shared" si="94"/>
        <v>0</v>
      </c>
      <c r="AI170" t="e">
        <f t="shared" si="95"/>
        <v>#DIV/0!</v>
      </c>
      <c r="AJ170" s="3"/>
      <c r="AK170" s="3"/>
      <c r="AL170" s="3"/>
      <c r="AM170" s="3"/>
      <c r="AN170" s="3"/>
      <c r="AO170" t="e">
        <f t="shared" si="96"/>
        <v>#DIV/0!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</row>
    <row r="171" hidden="1" spans="1:87">
      <c r="A171" s="3"/>
      <c r="B171" s="7" t="s">
        <v>491</v>
      </c>
      <c r="C171" s="7" t="s">
        <v>491</v>
      </c>
      <c r="D171" s="3"/>
      <c r="E171" s="3"/>
      <c r="F171" s="3"/>
      <c r="G171" s="3"/>
      <c r="H171" s="9"/>
      <c r="I171" s="13" t="s">
        <v>61</v>
      </c>
      <c r="J171" s="16">
        <v>1547000</v>
      </c>
      <c r="K171" s="3"/>
      <c r="M171" s="3"/>
      <c r="N171" s="3"/>
      <c r="O171" t="e">
        <f t="shared" si="93"/>
        <v>#DIV/0!</v>
      </c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>
        <f t="shared" si="94"/>
        <v>0</v>
      </c>
      <c r="AI171" t="e">
        <f t="shared" si="95"/>
        <v>#DIV/0!</v>
      </c>
      <c r="AJ171" s="3"/>
      <c r="AK171" s="3"/>
      <c r="AL171" s="3"/>
      <c r="AM171" s="3"/>
      <c r="AN171" s="3"/>
      <c r="AO171" t="e">
        <f t="shared" si="96"/>
        <v>#DIV/0!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</row>
    <row r="172" hidden="1" spans="1:87">
      <c r="A172" s="3"/>
      <c r="B172" s="7" t="s">
        <v>492</v>
      </c>
      <c r="C172" s="7" t="s">
        <v>492</v>
      </c>
      <c r="D172" s="3"/>
      <c r="E172" s="3"/>
      <c r="F172" s="3"/>
      <c r="G172" s="3"/>
      <c r="H172" s="9"/>
      <c r="I172" s="13" t="s">
        <v>61</v>
      </c>
      <c r="J172" s="16">
        <v>1547000</v>
      </c>
      <c r="K172" s="3"/>
      <c r="M172" s="3"/>
      <c r="N172" s="3"/>
      <c r="O172" t="e">
        <f t="shared" si="93"/>
        <v>#DIV/0!</v>
      </c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>
        <f t="shared" si="94"/>
        <v>0</v>
      </c>
      <c r="AI172" t="e">
        <f t="shared" si="95"/>
        <v>#DIV/0!</v>
      </c>
      <c r="AJ172" s="3"/>
      <c r="AK172" s="3"/>
      <c r="AL172" s="3"/>
      <c r="AM172" s="3"/>
      <c r="AN172" s="3"/>
      <c r="AO172" t="e">
        <f t="shared" si="96"/>
        <v>#DIV/0!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</row>
    <row r="173" hidden="1" spans="1:87">
      <c r="A173" s="3"/>
      <c r="B173" s="7" t="s">
        <v>493</v>
      </c>
      <c r="C173" s="7" t="s">
        <v>493</v>
      </c>
      <c r="D173" s="3"/>
      <c r="E173" s="3"/>
      <c r="F173" s="3"/>
      <c r="G173" s="3"/>
      <c r="H173" s="9"/>
      <c r="I173" s="13" t="s">
        <v>61</v>
      </c>
      <c r="J173" s="16">
        <v>1547000</v>
      </c>
      <c r="K173" s="3"/>
      <c r="M173" s="3"/>
      <c r="N173" s="3"/>
      <c r="O173" t="e">
        <f t="shared" si="93"/>
        <v>#DIV/0!</v>
      </c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>
        <f t="shared" si="94"/>
        <v>0</v>
      </c>
      <c r="AI173" t="e">
        <f t="shared" si="95"/>
        <v>#DIV/0!</v>
      </c>
      <c r="AJ173" s="3"/>
      <c r="AK173" s="3"/>
      <c r="AL173" s="3"/>
      <c r="AM173" s="3"/>
      <c r="AN173" s="3"/>
      <c r="AO173" t="e">
        <f t="shared" si="96"/>
        <v>#DIV/0!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</row>
    <row r="174" hidden="1" spans="2:87">
      <c r="B174" t="s">
        <v>58</v>
      </c>
      <c r="C174" t="s">
        <v>59</v>
      </c>
      <c r="H174" s="9"/>
      <c r="I174" s="13" t="s">
        <v>61</v>
      </c>
      <c r="J174" s="16">
        <v>1547000</v>
      </c>
      <c r="K174" s="3"/>
      <c r="L174" s="3"/>
      <c r="M174" s="3"/>
      <c r="N174" s="3"/>
      <c r="O174" t="e">
        <f t="shared" si="93"/>
        <v>#DIV/0!</v>
      </c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>
        <f t="shared" si="94"/>
        <v>0</v>
      </c>
      <c r="AI174" t="e">
        <f t="shared" si="95"/>
        <v>#DIV/0!</v>
      </c>
      <c r="AJ174" s="3"/>
      <c r="AK174" s="3"/>
      <c r="AL174" s="3"/>
      <c r="AM174" s="3"/>
      <c r="AN174" s="3"/>
      <c r="AO174" t="e">
        <f t="shared" si="96"/>
        <v>#DIV/0!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</row>
    <row r="175" hidden="1" spans="9:41">
      <c r="I175" s="13" t="s">
        <v>61</v>
      </c>
      <c r="O175" t="e">
        <f t="shared" si="93"/>
        <v>#DIV/0!</v>
      </c>
      <c r="AO175" t="e">
        <f t="shared" si="96"/>
        <v>#DIV/0!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哀マミムメ</cp:lastModifiedBy>
  <dcterms:created xsi:type="dcterms:W3CDTF">2026-09-16T13:54:54Z</dcterms:created>
  <dcterms:modified xsi:type="dcterms:W3CDTF">2026-09-16T13:57:15Z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F5D5791D8A6F6ED1BB2FAA6AB3FF4A34_42</vt:lpwstr>
  </property>
  <property fmtid="{D5CDD505-2E9C-101B-9397-08002B2CF9AE}" pid="3" name="KSOProductBuildVer">
    <vt:lpwstr>1033-6.14.0.8924</vt:lpwstr>
  </property>
</Properties>
</file>