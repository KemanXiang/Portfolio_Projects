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<sst xmlns="http://schemas.openxmlformats.org/spreadsheetml/2006/main" count="1179" uniqueCount="400">
  <si>
    <t>Rank</t>
  </si>
  <si>
    <t>Brand</t>
  </si>
  <si>
    <t>Company</t>
  </si>
  <si>
    <t>Brand Share/Company</t>
  </si>
  <si>
    <t>Brand Share/Industry</t>
  </si>
  <si>
    <t>Exchange Rate</t>
  </si>
  <si>
    <t>Currency</t>
  </si>
  <si>
    <t>Brand Net Profit After Tax i-2</t>
  </si>
  <si>
    <t>Brand Net Profit After Tax i-2/USD</t>
  </si>
  <si>
    <t>Brand Net Profit After Tax i-1</t>
  </si>
  <si>
    <t>Brand Net Profit After Tax i-1/USD</t>
  </si>
  <si>
    <t>Brand Net Profit After Tax i</t>
  </si>
  <si>
    <t>Brand Net Profit After Tax i/USD</t>
  </si>
  <si>
    <t>Brand Earnings</t>
  </si>
  <si>
    <t>Brand Earnings/USD</t>
  </si>
  <si>
    <t>Assets</t>
  </si>
  <si>
    <t>Liabilities</t>
  </si>
  <si>
    <t>Net Assets</t>
  </si>
  <si>
    <t>Stock ROE</t>
  </si>
  <si>
    <t>IV Intrinsic Value Rate</t>
  </si>
  <si>
    <t>Brand Market Share</t>
  </si>
  <si>
    <t>Brand History</t>
  </si>
  <si>
    <t>Total Market Size</t>
  </si>
  <si>
    <t>Overseas Sales i</t>
  </si>
  <si>
    <t>Overseas Sales i/USD</t>
  </si>
  <si>
    <t>Forecast 2022 Revenue</t>
  </si>
  <si>
    <t>Forecast 2022 Revenue/USD</t>
  </si>
  <si>
    <t>Brand Strength</t>
  </si>
  <si>
    <t>Brand Multiplier</t>
  </si>
  <si>
    <t>Intangible Assets</t>
  </si>
  <si>
    <t>Brand Value</t>
  </si>
  <si>
    <t>Brand Value (Official Interbrand)</t>
  </si>
  <si>
    <t>Brand Value (Other Official Source)</t>
  </si>
  <si>
    <t>Industry Average</t>
  </si>
  <si>
    <t>Industry</t>
  </si>
  <si>
    <t>EUR to USD (LVMH)</t>
  </si>
  <si>
    <t>USD</t>
  </si>
  <si>
    <t>THE NORTH FACE</t>
  </si>
  <si>
    <t>VF Corporation</t>
  </si>
  <si>
    <t>EUR to USD (Kering)</t>
  </si>
  <si>
    <t>TIMBERLAND</t>
  </si>
  <si>
    <t>EUR to USD (Inditex)</t>
  </si>
  <si>
    <t>VANS</t>
  </si>
  <si>
    <t>NAPAPIJRI</t>
  </si>
  <si>
    <t>JANSPORT</t>
  </si>
  <si>
    <t>SUPREME</t>
  </si>
  <si>
    <t>ROCK&amp;REPUBLIC</t>
  </si>
  <si>
    <t>DICKIES</t>
  </si>
  <si>
    <t>LEE</t>
  </si>
  <si>
    <t>WRANGLER</t>
  </si>
  <si>
    <t>Christian Dior</t>
  </si>
  <si>
    <t>CHRISTIAN DIOR</t>
  </si>
  <si>
    <t>LVMH Moët Hennessy-Louis Vuitton SE</t>
  </si>
  <si>
    <t>EUR</t>
  </si>
  <si>
    <t>Emilio Pucci</t>
  </si>
  <si>
    <t>EMILIO PUCCI</t>
  </si>
  <si>
    <t>Fendi</t>
  </si>
  <si>
    <t>FENDI</t>
  </si>
  <si>
    <t>Loewe</t>
  </si>
  <si>
    <t>LOEWE</t>
  </si>
  <si>
    <t>Loro Piana</t>
  </si>
  <si>
    <t>LORO PIANA</t>
  </si>
  <si>
    <t>Louis Vuitton</t>
  </si>
  <si>
    <t>LOUIS VUITTON</t>
  </si>
  <si>
    <t>Marc Jacobs</t>
  </si>
  <si>
    <t>MARC JACOBS</t>
  </si>
  <si>
    <t>Alexander McQueen</t>
  </si>
  <si>
    <t>ALEXANDER MCQUEEN</t>
  </si>
  <si>
    <t>Kering SA</t>
  </si>
  <si>
    <t>Balenciaga</t>
  </si>
  <si>
    <t>BALENCIAGA</t>
  </si>
  <si>
    <t>Bottega Veneta</t>
  </si>
  <si>
    <t>BOTTEGA VENETA</t>
  </si>
  <si>
    <t>Gucci</t>
  </si>
  <si>
    <t>GUCCI</t>
  </si>
  <si>
    <t>Yves Saint Laurent</t>
  </si>
  <si>
    <t>YVES SAINT LAURENT</t>
  </si>
  <si>
    <t>ZARA</t>
  </si>
  <si>
    <t>Inditex</t>
  </si>
  <si>
    <t>BERSHKA</t>
  </si>
  <si>
    <t>MASSIMO DUTTI</t>
  </si>
  <si>
    <t>OYSHO</t>
  </si>
  <si>
    <t>PULL AND BEAR</t>
  </si>
  <si>
    <t>STRADIVARIUS</t>
  </si>
  <si>
    <t>Michael Kors</t>
  </si>
  <si>
    <t>MICHAEL KORS</t>
  </si>
  <si>
    <t>Capri Holdings Limited</t>
  </si>
  <si>
    <t>Versace</t>
  </si>
  <si>
    <t>VERSACE</t>
  </si>
  <si>
    <t>Acne Studios</t>
  </si>
  <si>
    <t>ACNE STUDIOS</t>
  </si>
  <si>
    <t>Acne Studios Holding AB</t>
  </si>
  <si>
    <t>SEK</t>
  </si>
  <si>
    <t>ADIDAS</t>
  </si>
  <si>
    <t>956 Pre-Tax</t>
  </si>
  <si>
    <t>22600-X</t>
  </si>
  <si>
    <t>Alberta Ferretti</t>
  </si>
  <si>
    <t>ALBERTA FERRETTI</t>
  </si>
  <si>
    <t>Aeffe SpA</t>
  </si>
  <si>
    <t>Brunello Cucinelli</t>
  </si>
  <si>
    <t>BRUNELLO CUCINELLI</t>
  </si>
  <si>
    <t>Brunello Cucinelli SpA</t>
  </si>
  <si>
    <t>Burberry</t>
  </si>
  <si>
    <t>BURBERRY</t>
  </si>
  <si>
    <t>Burberry Group plc</t>
  </si>
  <si>
    <t>339.1 Pre-Tax</t>
  </si>
  <si>
    <t>GBP</t>
  </si>
  <si>
    <t>121.6 Pre-Tax</t>
  </si>
  <si>
    <t>375.9 Pre-Tax</t>
  </si>
  <si>
    <t>Canada Goose</t>
  </si>
  <si>
    <t>CANADA GOOSE</t>
  </si>
  <si>
    <t>Canada Goose Holdings Inc.</t>
  </si>
  <si>
    <t>CAD</t>
  </si>
  <si>
    <t>Chanel</t>
  </si>
  <si>
    <t>CHANEL</t>
  </si>
  <si>
    <t>Chanel Limited</t>
  </si>
  <si>
    <t>Chloé</t>
  </si>
  <si>
    <t>CHLOÉ</t>
  </si>
  <si>
    <t>Compagnie Financière Richemont SA</t>
  </si>
  <si>
    <t>568 Pre-Tax</t>
  </si>
  <si>
    <t>13183 Companies-X</t>
  </si>
  <si>
    <t>JOOP!</t>
  </si>
  <si>
    <t>Coty Inc.</t>
  </si>
  <si>
    <t>2606-X</t>
  </si>
  <si>
    <t>Pinko</t>
  </si>
  <si>
    <t>PINKO</t>
  </si>
  <si>
    <t>Cris Conf SpA</t>
  </si>
  <si>
    <t>Sting</t>
  </si>
  <si>
    <t>STING</t>
  </si>
  <si>
    <t>De Rigo SpA</t>
  </si>
  <si>
    <t>Dolce&amp;Gabbana</t>
  </si>
  <si>
    <t>DOLCE&amp;GABBANA</t>
  </si>
  <si>
    <t>Dolce &amp; Gabbana</t>
  </si>
  <si>
    <t>Ermenegildo Zegna</t>
  </si>
  <si>
    <t>ERMENEGILDO ZEGNA</t>
  </si>
  <si>
    <t>Ermenegildo Zegna Holditalia SpA</t>
  </si>
  <si>
    <t>Ermenegildo Zegna XXX Couture</t>
  </si>
  <si>
    <t>ERMENEGILDO ZEGNA XXX COUTURE</t>
  </si>
  <si>
    <t>THOM BROWNE. New York</t>
  </si>
  <si>
    <t>THOM BROWNE. NEW YORK</t>
  </si>
  <si>
    <t>Z Zegna</t>
  </si>
  <si>
    <t>Z ZEGNA</t>
  </si>
  <si>
    <t>Moschino</t>
  </si>
  <si>
    <t>MOSCHINO</t>
  </si>
  <si>
    <t>Euroitalia S.r.l.</t>
  </si>
  <si>
    <t>Naj-Oleari</t>
  </si>
  <si>
    <t>NAJ-OLEARI</t>
  </si>
  <si>
    <t>Reporter</t>
  </si>
  <si>
    <t>REPORTER</t>
  </si>
  <si>
    <t>Heron Preston</t>
  </si>
  <si>
    <t>HERON PRESTON</t>
  </si>
  <si>
    <t>Farfetch Limited</t>
  </si>
  <si>
    <t>Marcelo Burlon County of Milan</t>
  </si>
  <si>
    <t>MARCELO BURLON COUNTY OF MILAN</t>
  </si>
  <si>
    <t>Off-White</t>
  </si>
  <si>
    <t>OFF-WHITE</t>
  </si>
  <si>
    <t>Palm Angels</t>
  </si>
  <si>
    <t>PALM ANGELS</t>
  </si>
  <si>
    <t>Replay</t>
  </si>
  <si>
    <t>REPLAY</t>
  </si>
  <si>
    <t>Fashion Box SpA</t>
  </si>
  <si>
    <t>UNIQLO</t>
  </si>
  <si>
    <t>FAST RETAILING</t>
  </si>
  <si>
    <t>Fossil</t>
  </si>
  <si>
    <t>FOSSIL</t>
  </si>
  <si>
    <t>Fossil Group, Inc.</t>
  </si>
  <si>
    <t>971 Companies-X</t>
  </si>
  <si>
    <t>Michele</t>
  </si>
  <si>
    <t>MICHELE</t>
  </si>
  <si>
    <t>Relic</t>
  </si>
  <si>
    <t>RELIC</t>
  </si>
  <si>
    <t>Etro</t>
  </si>
  <si>
    <t>ETRO</t>
  </si>
  <si>
    <t>Gefin SpA</t>
  </si>
  <si>
    <t>A|X Armani Exchange</t>
  </si>
  <si>
    <t>A|X ARMANI EXCHANGE</t>
  </si>
  <si>
    <t>Giorgio Armani SpA</t>
  </si>
  <si>
    <t>Emporio Armani</t>
  </si>
  <si>
    <t>EMPORIO ARMANI</t>
  </si>
  <si>
    <t>Giorgio Armani</t>
  </si>
  <si>
    <t>GIORGIO ARMANI</t>
  </si>
  <si>
    <t>Golden Goose</t>
  </si>
  <si>
    <t>GOLDEN GOOSE</t>
  </si>
  <si>
    <t>Golden Goose SpA</t>
  </si>
  <si>
    <t>H&amp;M</t>
  </si>
  <si>
    <t>401 Pre-Tax Company</t>
  </si>
  <si>
    <t>19100-X Companies</t>
  </si>
  <si>
    <t>Hermès</t>
  </si>
  <si>
    <t>HERMÈS</t>
  </si>
  <si>
    <t>Hermès International SCA</t>
  </si>
  <si>
    <t>1424 Pre-Tax</t>
  </si>
  <si>
    <t>BOSS</t>
  </si>
  <si>
    <t>Hugo Boss AG</t>
  </si>
  <si>
    <t>2218 Companies-X</t>
  </si>
  <si>
    <t>HUGO</t>
  </si>
  <si>
    <t>Lanvin</t>
  </si>
  <si>
    <t>LANVIN</t>
  </si>
  <si>
    <t>Inter Parfums, Inc.</t>
  </si>
  <si>
    <t>241 Companies-X</t>
  </si>
  <si>
    <t>Rochas</t>
  </si>
  <si>
    <t>ROCHAS</t>
  </si>
  <si>
    <t>Barbour</t>
  </si>
  <si>
    <t>BARBOUR</t>
  </si>
  <si>
    <t>J Barbour &amp; Sons Ltd</t>
  </si>
  <si>
    <t>108-X</t>
  </si>
  <si>
    <t>Glo</t>
  </si>
  <si>
    <t>GLO</t>
  </si>
  <si>
    <t>Kalyan Jewellers India Pvt. Limited</t>
  </si>
  <si>
    <t>Mudhra</t>
  </si>
  <si>
    <t>MUDHRA</t>
  </si>
  <si>
    <t>JILL STUART</t>
  </si>
  <si>
    <t>Kosé Corporation</t>
  </si>
  <si>
    <t>DOCKERS</t>
  </si>
  <si>
    <t>Levi Strauss</t>
  </si>
  <si>
    <t>LEVI'S</t>
  </si>
  <si>
    <t>Liu.Jo</t>
  </si>
  <si>
    <t>LIU.JO</t>
  </si>
  <si>
    <t>Liu.Jo SpA</t>
  </si>
  <si>
    <t>MARC O’POLO</t>
  </si>
  <si>
    <t>Marc O'Polo AG</t>
  </si>
  <si>
    <t>Marina Rinaldi</t>
  </si>
  <si>
    <t>MARINA RINALDI</t>
  </si>
  <si>
    <t>Max Mara Fashion Group Srl</t>
  </si>
  <si>
    <t>Max &amp; Co</t>
  </si>
  <si>
    <t>MAX &amp;  CO</t>
  </si>
  <si>
    <t>MaxMara</t>
  </si>
  <si>
    <t>MAXMARA</t>
  </si>
  <si>
    <t>PennyBlack</t>
  </si>
  <si>
    <t>PENNYBLACK</t>
  </si>
  <si>
    <t>SportMax</t>
  </si>
  <si>
    <t>SPORTMAX</t>
  </si>
  <si>
    <t>Moncler</t>
  </si>
  <si>
    <t>MONCLER</t>
  </si>
  <si>
    <t>Moncler SpA</t>
  </si>
  <si>
    <t>243 Pre-Tax</t>
  </si>
  <si>
    <t>1318-X</t>
  </si>
  <si>
    <t>Nike</t>
  </si>
  <si>
    <t>NIKE</t>
  </si>
  <si>
    <t>3374 Pre-Tax</t>
  </si>
  <si>
    <t>38500-X</t>
  </si>
  <si>
    <t>Jil Sander</t>
  </si>
  <si>
    <t>JIL SANDER</t>
  </si>
  <si>
    <t>Onward Holdings Co., Ltd.</t>
  </si>
  <si>
    <t>Joseph</t>
  </si>
  <si>
    <t>JOSEPH</t>
  </si>
  <si>
    <t>Kashimaya</t>
  </si>
  <si>
    <t>KASHIMAYA</t>
  </si>
  <si>
    <t>Nijyusanku</t>
  </si>
  <si>
    <t>NIJYUSANKU</t>
  </si>
  <si>
    <t>Diesel</t>
  </si>
  <si>
    <t>DIESEL</t>
  </si>
  <si>
    <t>OTB SpA</t>
  </si>
  <si>
    <t>Maison Margiela</t>
  </si>
  <si>
    <t>MAISON MARGIELA</t>
  </si>
  <si>
    <t>Marni</t>
  </si>
  <si>
    <t>MARNI</t>
  </si>
  <si>
    <t>Viktor &amp; Rolf</t>
  </si>
  <si>
    <t>VIKTOR&amp;ROLF</t>
  </si>
  <si>
    <t>Paul Smith</t>
  </si>
  <si>
    <t>PAUL SMITH</t>
  </si>
  <si>
    <t>Paul Smith Group Holdings Limited</t>
  </si>
  <si>
    <t>Miu Miu</t>
  </si>
  <si>
    <t>MIU MIU</t>
  </si>
  <si>
    <t>Prada Group</t>
  </si>
  <si>
    <t>Prada</t>
  </si>
  <si>
    <t>PRADA</t>
  </si>
  <si>
    <t>Carolina Herrera</t>
  </si>
  <si>
    <t>CAROLINA HERRERA</t>
  </si>
  <si>
    <t>Puig S.L.</t>
  </si>
  <si>
    <t>Jean Paul Gaultier</t>
  </si>
  <si>
    <t>JEAN PAUL GAULTIER</t>
  </si>
  <si>
    <t>Paco Rabanne</t>
  </si>
  <si>
    <t>PACO RABANNE</t>
  </si>
  <si>
    <t>Calvin Klein</t>
  </si>
  <si>
    <t>CALVIN KLEIN</t>
  </si>
  <si>
    <t>PVH Corp.</t>
  </si>
  <si>
    <t>Tommy Hilfiger</t>
  </si>
  <si>
    <t>TOMMY HILFIGER</t>
  </si>
  <si>
    <t>Lauren Ralph Lauren</t>
  </si>
  <si>
    <t>LAUREN RALPH LAUREN</t>
  </si>
  <si>
    <t>Ralph Lauren Corporation</t>
  </si>
  <si>
    <t>4.62% Company</t>
  </si>
  <si>
    <t>2409 Companies</t>
  </si>
  <si>
    <t>Polo Ralph Lauren</t>
  </si>
  <si>
    <t>POLO RALPH LAUREN</t>
  </si>
  <si>
    <t>Ralph Lauren</t>
  </si>
  <si>
    <t>RALPH LAUREN</t>
  </si>
  <si>
    <t>Rolex</t>
  </si>
  <si>
    <t>ROLEX</t>
  </si>
  <si>
    <t>Rolex SA</t>
  </si>
  <si>
    <t>Salvatore Ferragamo</t>
  </si>
  <si>
    <t>SALVATORE FERRAGAMO</t>
  </si>
  <si>
    <t>Salvatore Ferragamo SpA</t>
  </si>
  <si>
    <t>Mackintosh</t>
  </si>
  <si>
    <t>MACKINTOSH</t>
  </si>
  <si>
    <t>Sanyo Shokai Ltd.</t>
  </si>
  <si>
    <t>Paul Stuart</t>
  </si>
  <si>
    <t>PAUL STUART</t>
  </si>
  <si>
    <t>Claudie Pierlot</t>
  </si>
  <si>
    <t>CLAUDIE PIERLOT</t>
  </si>
  <si>
    <t>SMCP SAS</t>
  </si>
  <si>
    <t>De Fursac</t>
  </si>
  <si>
    <t>DE FURSAC</t>
  </si>
  <si>
    <t>Maje</t>
  </si>
  <si>
    <t>MAJE</t>
  </si>
  <si>
    <t>Sandro</t>
  </si>
  <si>
    <t>SANDRO</t>
  </si>
  <si>
    <t>Purificación García</t>
  </si>
  <si>
    <t>PURIFICACIÓN GARCÍA</t>
  </si>
  <si>
    <t>Sociedad Textil Lonia SA</t>
  </si>
  <si>
    <t>Stone Island</t>
  </si>
  <si>
    <t>STONE ISLAND</t>
  </si>
  <si>
    <t>Sportswear Company SpA</t>
  </si>
  <si>
    <t>Kate Spade</t>
  </si>
  <si>
    <t>KATE SPADE</t>
  </si>
  <si>
    <t>Tapestry, Inc.</t>
  </si>
  <si>
    <t>Ted Baker</t>
  </si>
  <si>
    <t>TED BAKER</t>
  </si>
  <si>
    <t>Ted Baker plc</t>
  </si>
  <si>
    <t>339.534-X</t>
  </si>
  <si>
    <t>Hobbs</t>
  </si>
  <si>
    <t>HOBBS</t>
  </si>
  <si>
    <t>TFG Brands(London) Limited)</t>
  </si>
  <si>
    <t>Phase Eight</t>
  </si>
  <si>
    <t>PHASE EIGHT</t>
  </si>
  <si>
    <t>Whistles</t>
  </si>
  <si>
    <t>WHISTLES</t>
  </si>
  <si>
    <t>GAP</t>
  </si>
  <si>
    <t>The Gap</t>
  </si>
  <si>
    <t>13800-X</t>
  </si>
  <si>
    <t>Fay</t>
  </si>
  <si>
    <t>FAY</t>
  </si>
  <si>
    <t>TOD'S SpA</t>
  </si>
  <si>
    <t>Tory Burch</t>
  </si>
  <si>
    <t>TORY BURCH</t>
  </si>
  <si>
    <t>Tory Burch LLC</t>
  </si>
  <si>
    <t>Tory Sport</t>
  </si>
  <si>
    <t>TORY SPORT</t>
  </si>
  <si>
    <t>True Religion</t>
  </si>
  <si>
    <t>TRUE RELIGION</t>
  </si>
  <si>
    <t>True Religion Apparel, Inc.</t>
  </si>
  <si>
    <t>REDValentino</t>
  </si>
  <si>
    <t>REDVALENTINO</t>
  </si>
  <si>
    <t>Valentino SpA</t>
  </si>
  <si>
    <t>Valentino</t>
  </si>
  <si>
    <t>VALENTINO</t>
  </si>
  <si>
    <t>Zadig &amp; Voltaire</t>
  </si>
  <si>
    <t>ZADIG &amp; VOLTAIRE</t>
  </si>
  <si>
    <t>388^e(2020)-X</t>
  </si>
  <si>
    <t>AND1 LAB</t>
  </si>
  <si>
    <t>ANTA</t>
  </si>
  <si>
    <t>807 Pre-Tax</t>
  </si>
  <si>
    <t>ASOS</t>
  </si>
  <si>
    <t>CELINE</t>
  </si>
  <si>
    <t>CHAMPION</t>
  </si>
  <si>
    <t>COLUMBIA</t>
  </si>
  <si>
    <t>Columbia Sportswear Company</t>
  </si>
  <si>
    <t>2.41% Company</t>
  </si>
  <si>
    <t>DENIZEN</t>
  </si>
  <si>
    <t>DKNY</t>
  </si>
  <si>
    <t>DONNA KARAN</t>
  </si>
  <si>
    <t>DUNHILL</t>
  </si>
  <si>
    <t>ELIZA J</t>
  </si>
  <si>
    <t>FERRAGAMO</t>
  </si>
  <si>
    <t>GIVENCHY</t>
  </si>
  <si>
    <t>GUESS</t>
  </si>
  <si>
    <t xml:space="preserve">GUNZE </t>
  </si>
  <si>
    <t>HANES</t>
  </si>
  <si>
    <t>IICEBREAKER</t>
  </si>
  <si>
    <t>JACK&amp;JONES</t>
  </si>
  <si>
    <t>JASSICA SIMPSON</t>
  </si>
  <si>
    <t>JESSICA HOWARD</t>
  </si>
  <si>
    <t>JUST MY SIZE</t>
  </si>
  <si>
    <t>KARL LAGERFELD PARIIS</t>
  </si>
  <si>
    <t>KENNETH COLE NEW YORK</t>
  </si>
  <si>
    <t>KENSIE</t>
  </si>
  <si>
    <t>KENZO</t>
  </si>
  <si>
    <t>LILLY PULITZER</t>
  </si>
  <si>
    <t>LULULEMON</t>
  </si>
  <si>
    <t>Lululemon Atlantica Inc.</t>
  </si>
  <si>
    <t>476 Pre-Tax</t>
  </si>
  <si>
    <t>4.52% Company</t>
  </si>
  <si>
    <t>MOUNTAIN HARDWEAR</t>
  </si>
  <si>
    <t>MUJI</t>
  </si>
  <si>
    <t>ONLY</t>
  </si>
  <si>
    <t>PETER MILAR</t>
  </si>
  <si>
    <t>PRANA</t>
  </si>
  <si>
    <t>PUMA</t>
  </si>
  <si>
    <t>SELECTED</t>
  </si>
  <si>
    <t>SEMIR</t>
  </si>
  <si>
    <t>SOREL</t>
  </si>
  <si>
    <t>SOUTHERN TIDE</t>
  </si>
  <si>
    <t>THOMAS PINK</t>
  </si>
  <si>
    <t>TOMMY BAHAMA</t>
  </si>
  <si>
    <t>UNDER ARMOUR</t>
  </si>
  <si>
    <t>UNITED ARROWS</t>
  </si>
  <si>
    <t>VEROMODA</t>
  </si>
  <si>
    <t>VINCE CAMUTO</t>
  </si>
  <si>
    <t>WARNER'S</t>
  </si>
  <si>
    <t>YOUNGOR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</si>
</sst>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#,##0.000"/>
    <numFmt numFmtId="181" formatCode="0.000_);[Red]\(0.000\)"/>
    <numFmt numFmtId="182" formatCode="0.000%"/>
  </numFmts>
  <fonts count="43">
    <font>
      <sz val="12"/>
      <color theme="1"/>
      <name val="宋体"/>
      <charset val="134"/>
    </font>
    <font>
      <sz val="10"/>
      <color rgb="FF0F283E"/>
      <name val="Open Sans Light"/>
      <charset val="134"/>
    </font>
    <font>
      <sz val="12"/>
      <name val="宋体"/>
      <charset val="134"/>
    </font>
    <font>
      <sz val="12"/>
      <color rgb="FFC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</fonts>
  <fills count="6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F283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6" fillId="42" borderId="5" applyNumberFormat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7" fillId="51" borderId="5" applyNumberFormat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58" borderId="7" applyNumberFormat="0" applyAlignment="0" applyProtection="0">
      <alignment vertical="center"/>
    </xf>
    <xf numFmtId="0" fontId="33" fillId="51" borderId="6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0" fillId="63" borderId="2" applyNumberFormat="0" applyFont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1" fillId="0" borderId="3" applyNumberFormat="0" applyFill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0" borderId="0"/>
    <xf numFmtId="0" fontId="36" fillId="0" borderId="10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42" fillId="0" borderId="8" applyNumberFormat="0" applyFill="0" applyAlignment="0" applyProtection="0">
      <alignment vertical="center"/>
    </xf>
  </cellStyleXfs>
  <cellXfs count="32">
    <xf numFmtId="0" fontId="0" fillId="0" borderId="0" xfId="49">
      <alignment vertical="center"/>
    </xf>
    <xf numFmtId="0" fontId="0" fillId="0" borderId="0" xfId="49" applyFill="1">
      <alignment vertical="center"/>
    </xf>
    <xf numFmtId="0" fontId="0" fillId="2" borderId="0" xfId="49" applyFill="1">
      <alignment vertical="center"/>
    </xf>
    <xf numFmtId="0" fontId="0" fillId="3" borderId="0" xfId="49" applyFill="1">
      <alignment vertical="center"/>
    </xf>
    <xf numFmtId="0" fontId="0" fillId="4" borderId="0" xfId="49" applyFill="1">
      <alignment vertical="center"/>
    </xf>
    <xf numFmtId="0" fontId="0" fillId="5" borderId="0" xfId="49" applyFill="1">
      <alignment vertical="center"/>
    </xf>
    <xf numFmtId="0" fontId="0" fillId="0" borderId="0" xfId="49" applyFill="1" applyAlignment="1">
      <alignment vertical="center"/>
    </xf>
    <xf numFmtId="0" fontId="0" fillId="3" borderId="0" xfId="49" applyFill="1" applyAlignment="1">
      <alignment vertical="center"/>
    </xf>
    <xf numFmtId="0" fontId="0" fillId="6" borderId="0" xfId="49" applyFill="1">
      <alignment vertical="center"/>
    </xf>
    <xf numFmtId="0" fontId="1" fillId="0" borderId="0" xfId="94" applyFont="1" applyFill="1" applyAlignment="1">
      <alignment horizontal="left"/>
    </xf>
    <xf numFmtId="10" fontId="0" fillId="0" borderId="0" xfId="49" applyNumberFormat="1" applyFill="1">
      <alignment vertical="center"/>
    </xf>
    <xf numFmtId="9" fontId="0" fillId="0" borderId="0" xfId="49" applyNumberFormat="1" applyFill="1">
      <alignment vertical="center"/>
    </xf>
    <xf numFmtId="10" fontId="0" fillId="3" borderId="0" xfId="49" applyNumberFormat="1" applyFill="1">
      <alignment vertical="center"/>
    </xf>
    <xf numFmtId="0" fontId="1" fillId="0" borderId="1" xfId="94" applyFont="1" applyFill="1" applyBorder="1" applyAlignment="1">
      <alignment horizontal="left"/>
    </xf>
    <xf numFmtId="180" fontId="0" fillId="0" borderId="0" xfId="49" applyNumberFormat="1" applyFill="1">
      <alignment vertical="center"/>
    </xf>
    <xf numFmtId="180" fontId="1" fillId="0" borderId="1" xfId="94" applyNumberFormat="1" applyFont="1" applyFill="1" applyBorder="1" applyAlignment="1">
      <alignment horizontal="left"/>
    </xf>
    <xf numFmtId="3" fontId="0" fillId="0" borderId="0" xfId="49" applyNumberFormat="1" applyFill="1">
      <alignment vertical="center"/>
    </xf>
    <xf numFmtId="0" fontId="1" fillId="3" borderId="1" xfId="94" applyFont="1" applyFill="1" applyBorder="1" applyAlignment="1">
      <alignment horizontal="left"/>
    </xf>
    <xf numFmtId="0" fontId="2" fillId="6" borderId="0" xfId="49" applyFont="1" applyFill="1">
      <alignment vertical="center"/>
    </xf>
    <xf numFmtId="0" fontId="3" fillId="6" borderId="0" xfId="49" applyFont="1" applyFill="1">
      <alignment vertical="center"/>
    </xf>
    <xf numFmtId="181" fontId="0" fillId="0" borderId="0" xfId="49" applyNumberFormat="1" applyFill="1">
      <alignment vertical="center"/>
    </xf>
    <xf numFmtId="0" fontId="3" fillId="5" borderId="0" xfId="49" applyFont="1" applyFill="1">
      <alignment vertical="center"/>
    </xf>
    <xf numFmtId="182" fontId="0" fillId="0" borderId="0" xfId="58" applyNumberFormat="1" applyFill="1">
      <alignment vertical="center"/>
    </xf>
    <xf numFmtId="9" fontId="0" fillId="0" borderId="0" xfId="49" applyNumberFormat="1">
      <alignment vertical="center"/>
    </xf>
    <xf numFmtId="0" fontId="2" fillId="5" borderId="0" xfId="49" applyFont="1" applyFill="1">
      <alignment vertical="center"/>
    </xf>
    <xf numFmtId="4" fontId="0" fillId="0" borderId="0" xfId="49" applyNumberFormat="1" applyFill="1">
      <alignment vertical="center"/>
    </xf>
    <xf numFmtId="3" fontId="0" fillId="0" borderId="0" xfId="49" applyNumberFormat="1">
      <alignment vertical="center"/>
    </xf>
    <xf numFmtId="3" fontId="1" fillId="0" borderId="1" xfId="94" applyNumberFormat="1" applyFont="1" applyFill="1" applyBorder="1" applyAlignment="1">
      <alignment horizontal="right"/>
    </xf>
    <xf numFmtId="0" fontId="0" fillId="7" borderId="0" xfId="49" applyFill="1">
      <alignment vertical="center"/>
    </xf>
    <xf numFmtId="0" fontId="0" fillId="8" borderId="0" xfId="49" applyFill="1">
      <alignment vertical="center"/>
    </xf>
    <xf numFmtId="9" fontId="0" fillId="3" borderId="0" xfId="49" applyNumberFormat="1" applyFill="1">
      <alignment vertical="center"/>
    </xf>
    <xf numFmtId="10" fontId="0" fillId="0" borderId="0" xfId="49" applyNumberFormat="1">
      <alignment vertical="center"/>
    </xf>
  </cellXfs>
  <cellStyles count="9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60% - 强调文字颜色 6" xfId="50"/>
    <cellStyle name="20% - 强调文字颜色 4" xfId="51"/>
    <cellStyle name="强调文字颜色 4" xfId="52"/>
    <cellStyle name="输入" xfId="53"/>
    <cellStyle name="40% - 强调文字颜色 3" xfId="54"/>
    <cellStyle name="20% - 强调文字颜色 3" xfId="55"/>
    <cellStyle name="货币" xfId="56"/>
    <cellStyle name="强调文字颜色 3" xfId="57"/>
    <cellStyle name="百分比" xfId="58"/>
    <cellStyle name="60% - 强调文字颜色 2" xfId="59"/>
    <cellStyle name="60% - 强调文字颜色 5" xfId="60"/>
    <cellStyle name="强调文字颜色 2" xfId="61"/>
    <cellStyle name="60% - 强调文字颜色 1" xfId="62"/>
    <cellStyle name="60% - 强调文字颜色 4" xfId="63"/>
    <cellStyle name="计算" xfId="64"/>
    <cellStyle name="强调文字颜色 1" xfId="65"/>
    <cellStyle name="适中" xfId="66"/>
    <cellStyle name="20% - 强调文字颜色 5" xfId="67"/>
    <cellStyle name="好" xfId="68"/>
    <cellStyle name="20% - 强调文字颜色 1" xfId="69"/>
    <cellStyle name="汇总" xfId="70"/>
    <cellStyle name="差" xfId="71"/>
    <cellStyle name="检查单元格" xfId="72"/>
    <cellStyle name="输出" xfId="73"/>
    <cellStyle name="标题 1" xfId="74"/>
    <cellStyle name="解释性文本" xfId="75"/>
    <cellStyle name="20% - 强调文字颜色 2" xfId="76"/>
    <cellStyle name="标题 4" xfId="77"/>
    <cellStyle name="货币[0]" xfId="78"/>
    <cellStyle name="40% - 强调文字颜色 4" xfId="79"/>
    <cellStyle name="千位分隔" xfId="80"/>
    <cellStyle name="已访问的超链接" xfId="81"/>
    <cellStyle name="标题" xfId="82"/>
    <cellStyle name="40% - 强调文字颜色 2" xfId="83"/>
    <cellStyle name="警告文本" xfId="84"/>
    <cellStyle name="60% - 强调文字颜色 3" xfId="85"/>
    <cellStyle name="注释" xfId="86"/>
    <cellStyle name="20% - 强调文字颜色 6" xfId="87"/>
    <cellStyle name="强调文字颜色 5" xfId="88"/>
    <cellStyle name="40% - 强调文字颜色 6" xfId="89"/>
    <cellStyle name="超链接" xfId="90"/>
    <cellStyle name="千位分隔[0]" xfId="91"/>
    <cellStyle name="标题 2" xfId="92"/>
    <cellStyle name="40% - 强调文字颜色 5" xfId="93"/>
    <cellStyle name="Normal 2" xfId="94"/>
    <cellStyle name="标题 3" xfId="95"/>
    <cellStyle name="强调文字颜色 6" xfId="96"/>
    <cellStyle name="40% - 强调文字颜色 1" xfId="97"/>
    <cellStyle name="链接单元格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75"/>
  <sheetViews>
    <sheetView tabSelected="1" topLeftCell="AF1" workbookViewId="0">
      <selection activeCell="AK2" sqref="AK2"/>
    </sheetView>
  </sheetViews>
  <sheetFormatPr defaultColWidth="9.14285714285714" defaultRowHeight="17.6"/>
  <cols>
    <col min="2" max="2" width="20.5714285714286" customWidth="1"/>
    <col min="3" max="3" width="12.9285714285714" hidden="1" customWidth="1"/>
    <col min="4" max="4" width="16.7410714285714" hidden="1" customWidth="1"/>
    <col min="5" max="5" width="15.9642857142857" hidden="1" customWidth="1"/>
    <col min="6" max="6" width="18.125" hidden="1" customWidth="1"/>
    <col min="7" max="7" width="20.5714285714286" hidden="1" customWidth="1"/>
    <col min="8" max="8" width="8" hidden="1" customWidth="1"/>
    <col min="9" max="9" width="5.85714285714286" hidden="1" customWidth="1"/>
    <col min="10" max="10" width="19.7857142857143" hidden="1" customWidth="1"/>
    <col min="11" max="11" width="36.4285714285714" customWidth="1"/>
    <col min="12" max="12" width="5.85714285714286" hidden="1" customWidth="1"/>
    <col min="13" max="13" width="19.7857142857143" hidden="1" customWidth="1"/>
    <col min="14" max="14" width="36.4285714285714" customWidth="1"/>
    <col min="15" max="15" width="6" hidden="1" customWidth="1"/>
    <col min="16" max="16" width="18" hidden="1" customWidth="1"/>
    <col min="17" max="17" width="23.7857142857143" customWidth="1"/>
    <col min="18" max="18" width="5.85714285714286" hidden="1" customWidth="1"/>
    <col min="19" max="19" width="13.9285714285714" hidden="1" customWidth="1"/>
    <col min="20" max="20" width="21.9285714285714" customWidth="1"/>
    <col min="21" max="23" width="5.85714285714286" hidden="1" customWidth="1"/>
    <col min="24" max="24" width="8" hidden="1" customWidth="1"/>
    <col min="25" max="25" width="11.3571428571429" customWidth="1"/>
    <col min="26" max="26" width="23.5" customWidth="1"/>
    <col min="27" max="27" width="20.4285714285714" customWidth="1"/>
    <col min="28" max="28" width="14.5714285714286" customWidth="1"/>
    <col min="29" max="29" width="18.0714285714286" customWidth="1"/>
    <col min="30" max="30" width="9.14285714285714" hidden="1" customWidth="1"/>
    <col min="31" max="31" width="13.2142857142857" hidden="1" customWidth="1"/>
    <col min="32" max="32" width="22.0714285714286" customWidth="1"/>
    <col min="33" max="33" width="5.85714285714286" hidden="1" customWidth="1"/>
    <col min="34" max="34" width="14.6428571428571" hidden="1" customWidth="1"/>
    <col min="35" max="35" width="28.7142857142857" customWidth="1"/>
    <col min="36" max="36" width="15.5714285714286" customWidth="1"/>
    <col min="37" max="37" width="17.0714285714286" customWidth="1"/>
    <col min="38" max="38" width="5.85714285714286" hidden="1" customWidth="1"/>
    <col min="39" max="39" width="14.6696428571429" hidden="1" customWidth="1"/>
    <col min="40" max="40" width="9.14285714285714" hidden="1" customWidth="1"/>
    <col min="41" max="41" width="17.2053571428571" customWidth="1"/>
    <col min="42" max="42" width="16.3571428571429" hidden="1" customWidth="1"/>
    <col min="43" max="44" width="9.14285714285714" hidden="1" customWidth="1"/>
  </cols>
  <sheetData>
    <row r="1" ht="22" customHeight="1" spans="1:43">
      <c r="A1" t="s">
        <v>0</v>
      </c>
      <c r="B1" s="4" t="s">
        <v>1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 t="s">
        <v>6</v>
      </c>
      <c r="J1" s="8" t="s">
        <v>7</v>
      </c>
      <c r="K1" s="8" t="s">
        <v>8</v>
      </c>
      <c r="L1" s="5" t="s">
        <v>6</v>
      </c>
      <c r="M1" s="8" t="s">
        <v>9</v>
      </c>
      <c r="N1" s="8" t="s">
        <v>10</v>
      </c>
      <c r="O1" s="5" t="s">
        <v>6</v>
      </c>
      <c r="P1" s="8" t="s">
        <v>11</v>
      </c>
      <c r="Q1" s="8" t="s">
        <v>12</v>
      </c>
      <c r="R1" s="5" t="s">
        <v>6</v>
      </c>
      <c r="S1" s="18" t="s">
        <v>13</v>
      </c>
      <c r="T1" s="19" t="s">
        <v>14</v>
      </c>
      <c r="U1" s="5" t="s">
        <v>6</v>
      </c>
      <c r="V1" s="5" t="s">
        <v>15</v>
      </c>
      <c r="W1" s="5" t="s">
        <v>16</v>
      </c>
      <c r="X1" s="5" t="s">
        <v>17</v>
      </c>
      <c r="Y1" s="21" t="s">
        <v>18</v>
      </c>
      <c r="Z1" s="21" t="s">
        <v>19</v>
      </c>
      <c r="AA1" s="21" t="s">
        <v>20</v>
      </c>
      <c r="AB1" s="21" t="s">
        <v>21</v>
      </c>
      <c r="AC1" s="21" t="s">
        <v>22</v>
      </c>
      <c r="AD1" s="5" t="s">
        <v>6</v>
      </c>
      <c r="AE1" s="24" t="s">
        <v>23</v>
      </c>
      <c r="AF1" s="21" t="s">
        <v>24</v>
      </c>
      <c r="AG1" s="5" t="s">
        <v>6</v>
      </c>
      <c r="AH1" s="24" t="s">
        <v>25</v>
      </c>
      <c r="AI1" s="21" t="s">
        <v>26</v>
      </c>
      <c r="AJ1" s="5" t="s">
        <v>27</v>
      </c>
      <c r="AK1" s="28" t="s">
        <v>28</v>
      </c>
      <c r="AL1" s="5" t="s">
        <v>6</v>
      </c>
      <c r="AM1" s="28" t="s">
        <v>29</v>
      </c>
      <c r="AN1" s="5" t="s">
        <v>6</v>
      </c>
      <c r="AO1" s="29" t="s">
        <v>30</v>
      </c>
      <c r="AP1" s="8" t="s">
        <v>31</v>
      </c>
      <c r="AQ1" s="8" t="s">
        <v>32</v>
      </c>
    </row>
    <row r="2" s="1" customFormat="1" ht="22" customHeight="1" spans="1:43">
      <c r="A2" s="1">
        <v>0</v>
      </c>
      <c r="B2" s="1" t="s">
        <v>33</v>
      </c>
      <c r="C2" s="1" t="s">
        <v>34</v>
      </c>
      <c r="F2" s="1">
        <v>0.0002837</v>
      </c>
      <c r="G2" s="1" t="s">
        <v>35</v>
      </c>
      <c r="H2" s="9">
        <v>1.1304</v>
      </c>
      <c r="I2" s="13" t="s">
        <v>36</v>
      </c>
      <c r="K2" s="14">
        <f>AVERAGE(K3:K32)</f>
        <v>574.16806655052</v>
      </c>
      <c r="L2" s="15" t="s">
        <v>36</v>
      </c>
      <c r="M2" s="14"/>
      <c r="N2" s="14">
        <f>AVERAGE(N3:N32)</f>
        <v>405.985023986707</v>
      </c>
      <c r="O2" s="14" t="s">
        <v>36</v>
      </c>
      <c r="P2" s="14"/>
      <c r="Q2" s="14">
        <f>AVERAGE(Q3:Q32)</f>
        <v>654.980559976873</v>
      </c>
      <c r="R2" s="13" t="s">
        <v>36</v>
      </c>
      <c r="T2" s="20">
        <f>(Q2*3+N2*2+K2*1)/6</f>
        <v>558.513299075759</v>
      </c>
      <c r="U2" s="13" t="s">
        <v>36</v>
      </c>
      <c r="V2" s="1">
        <f>AVERAGE(V3:W32)</f>
        <v>28421.6406666667</v>
      </c>
      <c r="W2" s="1">
        <f>AVERAGE(W3:W32)</f>
        <v>12409.0383333333</v>
      </c>
      <c r="X2" s="1">
        <f t="shared" ref="X2:X32" si="0">V2-W2</f>
        <v>16012.6023333333</v>
      </c>
      <c r="Y2" s="22">
        <v>0.00023</v>
      </c>
      <c r="Z2" s="22">
        <f>AVERAGE(Z3:Z32)</f>
        <v>0.0104333333333334</v>
      </c>
      <c r="AA2" s="22">
        <v>0.0002837</v>
      </c>
      <c r="AB2" s="1">
        <v>59.4</v>
      </c>
      <c r="AC2" s="16">
        <v>425600</v>
      </c>
      <c r="AD2" s="1" t="s">
        <v>36</v>
      </c>
      <c r="AE2" s="1">
        <v>2455.0200351198</v>
      </c>
      <c r="AF2" s="20">
        <f>AVERAGE(AF3:AF32)</f>
        <v>2714.03348122531</v>
      </c>
      <c r="AG2" s="20" t="s">
        <v>36</v>
      </c>
      <c r="AH2" s="20"/>
      <c r="AI2" s="20">
        <f>AVERAGE(AI3:AI32)</f>
        <v>4276.3144855588</v>
      </c>
      <c r="AJ2" s="1">
        <f>(Y2*0.1+Z2*0.05+AA2*0.25+AB2*0.15+AC2*0.1+AE2*0.25+AH2*0.1)/1000</f>
        <v>43.1826656243716</v>
      </c>
      <c r="AK2" s="1">
        <f>1/250*AI2^2</f>
        <v>73147.4623176002</v>
      </c>
      <c r="AL2" s="13" t="s">
        <v>36</v>
      </c>
      <c r="AM2" s="1">
        <f>AVERAGE(AM3:AM32)</f>
        <v>1122.95322674555</v>
      </c>
      <c r="AN2" s="1" t="s">
        <v>36</v>
      </c>
      <c r="AO2" s="16">
        <f>AVERAGE(AO3:AO32)</f>
        <v>948.999310105355</v>
      </c>
      <c r="AQ2" s="16">
        <v>3005</v>
      </c>
    </row>
    <row r="3" s="1" customFormat="1" spans="1:42">
      <c r="A3" s="1">
        <v>1</v>
      </c>
      <c r="B3" s="6" t="s">
        <v>37</v>
      </c>
      <c r="C3" s="6" t="s">
        <v>37</v>
      </c>
      <c r="D3" s="1" t="s">
        <v>38</v>
      </c>
      <c r="E3" s="10">
        <v>0.2634</v>
      </c>
      <c r="F3" s="1">
        <v>0.02360064</v>
      </c>
      <c r="G3" s="1" t="s">
        <v>39</v>
      </c>
      <c r="H3" s="9">
        <v>1.1296</v>
      </c>
      <c r="I3" s="13" t="s">
        <v>36</v>
      </c>
      <c r="J3" s="1">
        <f t="shared" ref="J3:J12" si="1">1259.792*E3</f>
        <v>331.8292128</v>
      </c>
      <c r="K3" s="14">
        <v>331.8292128</v>
      </c>
      <c r="L3" s="15" t="s">
        <v>36</v>
      </c>
      <c r="M3" s="14">
        <f t="shared" ref="M3:M12" si="2">679.449*E3</f>
        <v>178.9668666</v>
      </c>
      <c r="N3" s="14">
        <v>178.9668666</v>
      </c>
      <c r="O3" s="14" t="s">
        <v>36</v>
      </c>
      <c r="P3" s="14">
        <f t="shared" ref="P3:P12" si="3">407.869*E3</f>
        <v>107.4326946</v>
      </c>
      <c r="Q3" s="14">
        <v>107.4326946</v>
      </c>
      <c r="R3" s="13" t="s">
        <v>36</v>
      </c>
      <c r="S3" s="1">
        <f t="shared" ref="S3:S33" si="4">(P3*3+M3*2+J3*1)/6</f>
        <v>168.6768383</v>
      </c>
      <c r="T3" s="20">
        <v>168.6768383</v>
      </c>
      <c r="U3" s="13" t="s">
        <v>36</v>
      </c>
      <c r="V3" s="1">
        <v>12375.029</v>
      </c>
      <c r="W3" s="1">
        <v>10697.865</v>
      </c>
      <c r="X3" s="1">
        <f t="shared" si="0"/>
        <v>1677.164</v>
      </c>
      <c r="Y3" s="22">
        <f t="shared" ref="Y3:Y24" si="5">P3/X3</f>
        <v>0.0640561654077955</v>
      </c>
      <c r="Z3" s="22">
        <v>0.0201</v>
      </c>
      <c r="AA3" s="22">
        <f>8.96%*E3</f>
        <v>0.02360064</v>
      </c>
      <c r="AB3" s="1">
        <v>56</v>
      </c>
      <c r="AC3" s="16">
        <v>425600</v>
      </c>
      <c r="AD3" s="13" t="s">
        <v>36</v>
      </c>
      <c r="AE3" s="25">
        <v>1245.6</v>
      </c>
      <c r="AF3" s="20">
        <v>1245.6</v>
      </c>
      <c r="AG3" s="20" t="s">
        <v>36</v>
      </c>
      <c r="AH3" s="20">
        <f t="shared" ref="AH3:AH12" si="6">0.8809*9238.83*E3</f>
        <v>2143.6770403998</v>
      </c>
      <c r="AI3" s="20">
        <v>2143.6770403998</v>
      </c>
      <c r="AJ3" s="1">
        <f t="shared" ref="AJ3:AJ32" si="7">(Y3*0.1+Z3*0.05+AA3*0.25+AB3*0.15+AC3*0.1+AE3*0.25+AH3*0.1)/1000</f>
        <v>43.0941810148165</v>
      </c>
      <c r="AK3" s="1">
        <f t="shared" ref="AK3:AK32" si="8">1/250*AI3^2</f>
        <v>18381.405014149</v>
      </c>
      <c r="AL3" s="13" t="s">
        <v>36</v>
      </c>
      <c r="AM3" s="1">
        <f t="shared" ref="AM3:AM12" si="9">3029.545*E3</f>
        <v>797.982153</v>
      </c>
      <c r="AN3" s="1" t="s">
        <v>36</v>
      </c>
      <c r="AO3" s="1">
        <f>AJ3*AK3/10000</f>
        <v>79.2131594986392</v>
      </c>
      <c r="AP3" s="1" t="e">
        <f t="shared" ref="AP3:AP10" si="10">AK3*AL3</f>
        <v>#VALUE!</v>
      </c>
    </row>
    <row r="4" s="1" customFormat="1" spans="1:42">
      <c r="A4" s="1">
        <v>2</v>
      </c>
      <c r="B4" s="6" t="s">
        <v>40</v>
      </c>
      <c r="C4" s="6" t="s">
        <v>40</v>
      </c>
      <c r="D4" s="1" t="s">
        <v>38</v>
      </c>
      <c r="E4" s="10">
        <v>0.1621</v>
      </c>
      <c r="F4" s="1">
        <v>0.01452416</v>
      </c>
      <c r="G4" s="1" t="s">
        <v>41</v>
      </c>
      <c r="H4" s="9">
        <v>1.0911</v>
      </c>
      <c r="I4" s="13" t="s">
        <v>36</v>
      </c>
      <c r="J4" s="1">
        <f t="shared" si="1"/>
        <v>204.2122832</v>
      </c>
      <c r="K4" s="14">
        <v>204.2122832</v>
      </c>
      <c r="L4" s="15" t="s">
        <v>36</v>
      </c>
      <c r="M4" s="14">
        <f t="shared" si="2"/>
        <v>110.1386829</v>
      </c>
      <c r="N4" s="14">
        <v>110.1386829</v>
      </c>
      <c r="O4" s="14" t="s">
        <v>36</v>
      </c>
      <c r="P4" s="14">
        <f t="shared" si="3"/>
        <v>66.1155649</v>
      </c>
      <c r="Q4" s="14">
        <v>66.1155649</v>
      </c>
      <c r="R4" s="13" t="s">
        <v>36</v>
      </c>
      <c r="S4" s="1">
        <f t="shared" si="4"/>
        <v>103.806057283333</v>
      </c>
      <c r="T4" s="20">
        <v>103.806057283333</v>
      </c>
      <c r="U4" s="13" t="s">
        <v>36</v>
      </c>
      <c r="V4" s="1">
        <v>12375.029</v>
      </c>
      <c r="W4" s="1">
        <v>10697.865</v>
      </c>
      <c r="X4" s="1">
        <f t="shared" si="0"/>
        <v>1677.164</v>
      </c>
      <c r="Y4" s="22">
        <f t="shared" si="5"/>
        <v>0.0394210494024436</v>
      </c>
      <c r="Z4" s="22">
        <v>0.0201</v>
      </c>
      <c r="AA4" s="22">
        <f t="shared" ref="AA4:AA12" si="11">8.96%*E4</f>
        <v>0.01452416</v>
      </c>
      <c r="AB4" s="1">
        <v>49</v>
      </c>
      <c r="AC4" s="16">
        <v>425600</v>
      </c>
      <c r="AD4" s="13" t="s">
        <v>36</v>
      </c>
      <c r="AE4" s="25">
        <v>897.2</v>
      </c>
      <c r="AF4" s="20">
        <v>897.2</v>
      </c>
      <c r="AG4" s="20" t="s">
        <v>36</v>
      </c>
      <c r="AH4" s="20">
        <f t="shared" si="6"/>
        <v>1319.2484747487</v>
      </c>
      <c r="AI4" s="20">
        <v>1319.2484747487</v>
      </c>
      <c r="AJ4" s="1">
        <f t="shared" si="7"/>
        <v>42.9235834256198</v>
      </c>
      <c r="AK4" s="1">
        <f t="shared" si="8"/>
        <v>6961.66615250708</v>
      </c>
      <c r="AL4" s="13" t="s">
        <v>36</v>
      </c>
      <c r="AM4" s="1">
        <f t="shared" si="9"/>
        <v>491.0892445</v>
      </c>
      <c r="AN4" s="1" t="s">
        <v>36</v>
      </c>
      <c r="AO4" s="1">
        <f t="shared" ref="AO4:AO32" si="12">AJ4*AK4/10000</f>
        <v>29.8819657878452</v>
      </c>
      <c r="AP4" s="1" t="e">
        <f t="shared" si="10"/>
        <v>#VALUE!</v>
      </c>
    </row>
    <row r="5" s="1" customFormat="1" spans="1:42">
      <c r="A5" s="1">
        <v>3</v>
      </c>
      <c r="B5" s="6" t="s">
        <v>42</v>
      </c>
      <c r="C5" s="6" t="s">
        <v>42</v>
      </c>
      <c r="D5" s="1" t="s">
        <v>38</v>
      </c>
      <c r="E5" s="10">
        <v>0.3715</v>
      </c>
      <c r="F5" s="1">
        <v>0.0332864</v>
      </c>
      <c r="G5" s="1"/>
      <c r="H5" s="9"/>
      <c r="I5" s="13" t="s">
        <v>36</v>
      </c>
      <c r="J5" s="1">
        <f t="shared" si="1"/>
        <v>468.012728</v>
      </c>
      <c r="K5" s="14">
        <v>468.012728</v>
      </c>
      <c r="L5" s="15" t="s">
        <v>36</v>
      </c>
      <c r="M5" s="14">
        <f t="shared" si="2"/>
        <v>252.4153035</v>
      </c>
      <c r="N5" s="14">
        <v>252.4153035</v>
      </c>
      <c r="O5" s="14" t="s">
        <v>36</v>
      </c>
      <c r="P5" s="14">
        <f t="shared" si="3"/>
        <v>151.5233335</v>
      </c>
      <c r="Q5" s="14">
        <v>151.5233335</v>
      </c>
      <c r="R5" s="13" t="s">
        <v>36</v>
      </c>
      <c r="S5" s="1">
        <f t="shared" si="4"/>
        <v>237.902222583333</v>
      </c>
      <c r="T5" s="20">
        <v>237.902222583333</v>
      </c>
      <c r="U5" s="13" t="s">
        <v>36</v>
      </c>
      <c r="V5" s="1">
        <v>12375.029</v>
      </c>
      <c r="W5" s="1">
        <v>10697.865</v>
      </c>
      <c r="X5" s="1">
        <f t="shared" si="0"/>
        <v>1677.164</v>
      </c>
      <c r="Y5" s="22">
        <f t="shared" si="5"/>
        <v>0.090344971332559</v>
      </c>
      <c r="Z5" s="22">
        <v>0.0201</v>
      </c>
      <c r="AA5" s="22">
        <f t="shared" si="11"/>
        <v>0.0332864</v>
      </c>
      <c r="AB5" s="1">
        <v>56</v>
      </c>
      <c r="AC5" s="16">
        <v>425600</v>
      </c>
      <c r="AD5" s="13" t="s">
        <v>36</v>
      </c>
      <c r="AE5" s="25">
        <v>1520.7</v>
      </c>
      <c r="AF5" s="20">
        <v>1520.7</v>
      </c>
      <c r="AG5" s="20" t="s">
        <v>36</v>
      </c>
      <c r="AH5" s="20">
        <f t="shared" si="6"/>
        <v>3023.4473064105</v>
      </c>
      <c r="AI5" s="20">
        <v>3023.4473064105</v>
      </c>
      <c r="AJ5" s="1">
        <f t="shared" si="7"/>
        <v>43.2509380917382</v>
      </c>
      <c r="AK5" s="1">
        <f t="shared" si="8"/>
        <v>36564.9344585636</v>
      </c>
      <c r="AL5" s="13" t="s">
        <v>36</v>
      </c>
      <c r="AM5" s="1">
        <f t="shared" si="9"/>
        <v>1125.4759675</v>
      </c>
      <c r="AN5" s="1" t="s">
        <v>36</v>
      </c>
      <c r="AO5" s="1">
        <f t="shared" si="12"/>
        <v>158.14677165958</v>
      </c>
      <c r="AP5" s="1" t="e">
        <f t="shared" si="10"/>
        <v>#VALUE!</v>
      </c>
    </row>
    <row r="6" s="1" customFormat="1" spans="1:42">
      <c r="A6" s="1">
        <v>4</v>
      </c>
      <c r="B6" s="6" t="s">
        <v>43</v>
      </c>
      <c r="C6" s="6" t="s">
        <v>43</v>
      </c>
      <c r="D6" s="1" t="s">
        <v>38</v>
      </c>
      <c r="E6" s="10">
        <v>0.07506</v>
      </c>
      <c r="F6" s="1">
        <v>0.006725376</v>
      </c>
      <c r="G6" s="1"/>
      <c r="H6" s="9"/>
      <c r="I6" s="13" t="s">
        <v>36</v>
      </c>
      <c r="J6" s="1">
        <f t="shared" si="1"/>
        <v>94.55998752</v>
      </c>
      <c r="K6" s="14">
        <v>94.55998752</v>
      </c>
      <c r="L6" s="15" t="s">
        <v>36</v>
      </c>
      <c r="M6" s="14">
        <f t="shared" si="2"/>
        <v>50.99944194</v>
      </c>
      <c r="N6" s="14">
        <v>50.99944194</v>
      </c>
      <c r="O6" s="14" t="s">
        <v>36</v>
      </c>
      <c r="P6" s="14">
        <f t="shared" si="3"/>
        <v>30.61464714</v>
      </c>
      <c r="Q6" s="14">
        <v>30.61464714</v>
      </c>
      <c r="R6" s="13" t="s">
        <v>36</v>
      </c>
      <c r="S6" s="1">
        <f t="shared" si="4"/>
        <v>48.06713547</v>
      </c>
      <c r="T6" s="20">
        <v>48.06713547</v>
      </c>
      <c r="U6" s="13" t="s">
        <v>36</v>
      </c>
      <c r="V6" s="1">
        <v>12375.029</v>
      </c>
      <c r="W6" s="1">
        <v>10697.865</v>
      </c>
      <c r="X6" s="1">
        <f t="shared" si="0"/>
        <v>1677.164</v>
      </c>
      <c r="Y6" s="22">
        <f t="shared" si="5"/>
        <v>0.0182538184339754</v>
      </c>
      <c r="Z6" s="22">
        <v>0.0201</v>
      </c>
      <c r="AA6" s="22">
        <f t="shared" si="11"/>
        <v>0.006725376</v>
      </c>
      <c r="AB6" s="1">
        <v>35</v>
      </c>
      <c r="AC6" s="16">
        <v>425600</v>
      </c>
      <c r="AD6" s="13" t="s">
        <v>36</v>
      </c>
      <c r="AE6" s="25">
        <v>345.5109378</v>
      </c>
      <c r="AF6" s="20">
        <v>345.5109378</v>
      </c>
      <c r="AG6" s="20" t="s">
        <v>36</v>
      </c>
      <c r="AH6" s="20">
        <f t="shared" si="6"/>
        <v>610.87471014582</v>
      </c>
      <c r="AI6" s="20">
        <v>610.87471014582</v>
      </c>
      <c r="AJ6" s="1">
        <f t="shared" si="7"/>
        <v>42.7127197171904</v>
      </c>
      <c r="AK6" s="1">
        <f t="shared" si="8"/>
        <v>1492.67164598296</v>
      </c>
      <c r="AL6" s="13" t="s">
        <v>36</v>
      </c>
      <c r="AM6" s="1">
        <f t="shared" si="9"/>
        <v>227.3976477</v>
      </c>
      <c r="AN6" s="1" t="s">
        <v>36</v>
      </c>
      <c r="AO6" s="1">
        <f t="shared" si="12"/>
        <v>6.37560656446674</v>
      </c>
      <c r="AP6" s="1" t="e">
        <f t="shared" si="10"/>
        <v>#VALUE!</v>
      </c>
    </row>
    <row r="7" s="1" customFormat="1" spans="1:42">
      <c r="A7" s="1">
        <v>5</v>
      </c>
      <c r="B7" s="6" t="s">
        <v>44</v>
      </c>
      <c r="C7" s="6" t="s">
        <v>44</v>
      </c>
      <c r="D7" s="1" t="s">
        <v>38</v>
      </c>
      <c r="E7" s="10">
        <v>0.07506</v>
      </c>
      <c r="F7" s="1">
        <v>0.006725376</v>
      </c>
      <c r="G7" s="1"/>
      <c r="H7" s="9"/>
      <c r="I7" s="13" t="s">
        <v>36</v>
      </c>
      <c r="J7" s="1">
        <f t="shared" si="1"/>
        <v>94.55998752</v>
      </c>
      <c r="K7" s="14">
        <v>94.55998752</v>
      </c>
      <c r="L7" s="15" t="s">
        <v>36</v>
      </c>
      <c r="M7" s="14">
        <f t="shared" si="2"/>
        <v>50.99944194</v>
      </c>
      <c r="N7" s="14">
        <v>50.99944194</v>
      </c>
      <c r="O7" s="14" t="s">
        <v>36</v>
      </c>
      <c r="P7" s="14">
        <f t="shared" si="3"/>
        <v>30.61464714</v>
      </c>
      <c r="Q7" s="14">
        <v>30.61464714</v>
      </c>
      <c r="R7" s="13" t="s">
        <v>36</v>
      </c>
      <c r="S7" s="1">
        <f t="shared" si="4"/>
        <v>48.06713547</v>
      </c>
      <c r="T7" s="20">
        <v>48.06713547</v>
      </c>
      <c r="U7" s="13" t="s">
        <v>36</v>
      </c>
      <c r="V7" s="1">
        <v>12375.029</v>
      </c>
      <c r="W7" s="1">
        <v>10697.865</v>
      </c>
      <c r="X7" s="1">
        <f t="shared" si="0"/>
        <v>1677.164</v>
      </c>
      <c r="Y7" s="22">
        <f t="shared" si="5"/>
        <v>0.0182538184339754</v>
      </c>
      <c r="Z7" s="22">
        <v>0.0201</v>
      </c>
      <c r="AA7" s="22">
        <f t="shared" si="11"/>
        <v>0.006725376</v>
      </c>
      <c r="AB7" s="1">
        <v>55</v>
      </c>
      <c r="AC7" s="16">
        <v>425600</v>
      </c>
      <c r="AD7" s="13" t="s">
        <v>36</v>
      </c>
      <c r="AE7" s="25">
        <v>345.5109378</v>
      </c>
      <c r="AF7" s="20">
        <v>345.5109378</v>
      </c>
      <c r="AG7" s="20" t="s">
        <v>36</v>
      </c>
      <c r="AH7" s="20">
        <f t="shared" si="6"/>
        <v>610.87471014582</v>
      </c>
      <c r="AI7" s="20">
        <v>610.87471014582</v>
      </c>
      <c r="AJ7" s="1">
        <f t="shared" si="7"/>
        <v>42.7157197171904</v>
      </c>
      <c r="AK7" s="1">
        <f t="shared" si="8"/>
        <v>1492.67164598296</v>
      </c>
      <c r="AL7" s="13" t="s">
        <v>36</v>
      </c>
      <c r="AM7" s="1">
        <f t="shared" si="9"/>
        <v>227.3976477</v>
      </c>
      <c r="AN7" s="1" t="s">
        <v>36</v>
      </c>
      <c r="AO7" s="1">
        <f t="shared" si="12"/>
        <v>6.37605436596053</v>
      </c>
      <c r="AP7" s="1" t="e">
        <f t="shared" si="10"/>
        <v>#VALUE!</v>
      </c>
    </row>
    <row r="8" s="1" customFormat="1" spans="1:42">
      <c r="A8" s="1">
        <v>6</v>
      </c>
      <c r="B8" s="6" t="s">
        <v>45</v>
      </c>
      <c r="C8" s="6" t="s">
        <v>45</v>
      </c>
      <c r="D8" s="1" t="s">
        <v>38</v>
      </c>
      <c r="E8" s="10">
        <v>0.07506</v>
      </c>
      <c r="F8" s="1">
        <v>0.006725376</v>
      </c>
      <c r="G8" s="1"/>
      <c r="H8" s="9"/>
      <c r="I8" s="13" t="s">
        <v>36</v>
      </c>
      <c r="J8" s="1">
        <f t="shared" si="1"/>
        <v>94.55998752</v>
      </c>
      <c r="K8" s="14">
        <v>94.55998752</v>
      </c>
      <c r="L8" s="15" t="s">
        <v>36</v>
      </c>
      <c r="M8" s="14">
        <f t="shared" si="2"/>
        <v>50.99944194</v>
      </c>
      <c r="N8" s="14">
        <v>50.99944194</v>
      </c>
      <c r="O8" s="14" t="s">
        <v>36</v>
      </c>
      <c r="P8" s="14">
        <f t="shared" si="3"/>
        <v>30.61464714</v>
      </c>
      <c r="Q8" s="14">
        <v>30.61464714</v>
      </c>
      <c r="R8" s="13" t="s">
        <v>36</v>
      </c>
      <c r="S8" s="1">
        <f t="shared" si="4"/>
        <v>48.06713547</v>
      </c>
      <c r="T8" s="20">
        <v>48.06713547</v>
      </c>
      <c r="U8" s="13" t="s">
        <v>36</v>
      </c>
      <c r="V8" s="1">
        <v>12375.029</v>
      </c>
      <c r="W8" s="1">
        <v>10697.865</v>
      </c>
      <c r="X8" s="1">
        <f t="shared" si="0"/>
        <v>1677.164</v>
      </c>
      <c r="Y8" s="22">
        <f t="shared" si="5"/>
        <v>0.0182538184339754</v>
      </c>
      <c r="Z8" s="22">
        <v>0.0201</v>
      </c>
      <c r="AA8" s="22">
        <f t="shared" si="11"/>
        <v>0.006725376</v>
      </c>
      <c r="AB8" s="1">
        <v>28</v>
      </c>
      <c r="AC8" s="16">
        <v>425600</v>
      </c>
      <c r="AD8" s="13" t="s">
        <v>36</v>
      </c>
      <c r="AE8" s="25">
        <v>345.5109378</v>
      </c>
      <c r="AF8" s="20">
        <v>345.5109378</v>
      </c>
      <c r="AG8" s="20" t="s">
        <v>36</v>
      </c>
      <c r="AH8" s="20">
        <f t="shared" si="6"/>
        <v>610.87471014582</v>
      </c>
      <c r="AI8" s="20">
        <v>610.87471014582</v>
      </c>
      <c r="AJ8" s="1">
        <f t="shared" si="7"/>
        <v>42.7116697171904</v>
      </c>
      <c r="AK8" s="1">
        <f t="shared" si="8"/>
        <v>1492.67164598296</v>
      </c>
      <c r="AL8" s="13" t="s">
        <v>36</v>
      </c>
      <c r="AM8" s="1">
        <f t="shared" si="9"/>
        <v>227.3976477</v>
      </c>
      <c r="AN8" s="1" t="s">
        <v>36</v>
      </c>
      <c r="AO8" s="1">
        <f t="shared" si="12"/>
        <v>6.37544983394391</v>
      </c>
      <c r="AP8" s="1" t="e">
        <f t="shared" si="10"/>
        <v>#VALUE!</v>
      </c>
    </row>
    <row r="9" s="1" customFormat="1" spans="1:42">
      <c r="A9" s="1">
        <v>7</v>
      </c>
      <c r="B9" s="6" t="s">
        <v>46</v>
      </c>
      <c r="C9" s="6" t="s">
        <v>46</v>
      </c>
      <c r="D9" s="1" t="s">
        <v>38</v>
      </c>
      <c r="E9" s="10">
        <v>0.07506</v>
      </c>
      <c r="F9" s="1">
        <v>0.006725376</v>
      </c>
      <c r="G9" s="1"/>
      <c r="H9" s="9"/>
      <c r="I9" s="13" t="s">
        <v>36</v>
      </c>
      <c r="J9" s="1">
        <f t="shared" si="1"/>
        <v>94.55998752</v>
      </c>
      <c r="K9" s="14">
        <v>94.55998752</v>
      </c>
      <c r="L9" s="15" t="s">
        <v>36</v>
      </c>
      <c r="M9" s="14">
        <f t="shared" si="2"/>
        <v>50.99944194</v>
      </c>
      <c r="N9" s="14">
        <v>50.99944194</v>
      </c>
      <c r="O9" s="14" t="s">
        <v>36</v>
      </c>
      <c r="P9" s="14">
        <f t="shared" si="3"/>
        <v>30.61464714</v>
      </c>
      <c r="Q9" s="14">
        <v>30.61464714</v>
      </c>
      <c r="R9" s="13" t="s">
        <v>36</v>
      </c>
      <c r="S9" s="1">
        <f t="shared" si="4"/>
        <v>48.06713547</v>
      </c>
      <c r="T9" s="20">
        <v>48.06713547</v>
      </c>
      <c r="U9" s="13" t="s">
        <v>36</v>
      </c>
      <c r="V9" s="1">
        <v>12375.029</v>
      </c>
      <c r="W9" s="1">
        <v>10697.865</v>
      </c>
      <c r="X9" s="1">
        <f t="shared" si="0"/>
        <v>1677.164</v>
      </c>
      <c r="Y9" s="22">
        <f t="shared" si="5"/>
        <v>0.0182538184339754</v>
      </c>
      <c r="Z9" s="22">
        <v>0.0201</v>
      </c>
      <c r="AA9" s="22">
        <f t="shared" si="11"/>
        <v>0.006725376</v>
      </c>
      <c r="AB9" s="1">
        <v>20</v>
      </c>
      <c r="AC9" s="16">
        <v>425600</v>
      </c>
      <c r="AD9" s="13" t="s">
        <v>36</v>
      </c>
      <c r="AE9" s="25">
        <v>345.5109378</v>
      </c>
      <c r="AF9" s="20">
        <v>345.5109378</v>
      </c>
      <c r="AG9" s="20" t="s">
        <v>36</v>
      </c>
      <c r="AH9" s="20">
        <f t="shared" si="6"/>
        <v>610.87471014582</v>
      </c>
      <c r="AI9" s="20">
        <v>610.87471014582</v>
      </c>
      <c r="AJ9" s="1">
        <f t="shared" si="7"/>
        <v>42.7104697171904</v>
      </c>
      <c r="AK9" s="1">
        <f t="shared" si="8"/>
        <v>1492.67164598296</v>
      </c>
      <c r="AL9" s="13" t="s">
        <v>36</v>
      </c>
      <c r="AM9" s="1">
        <f t="shared" si="9"/>
        <v>227.3976477</v>
      </c>
      <c r="AN9" s="1" t="s">
        <v>36</v>
      </c>
      <c r="AO9" s="1">
        <f t="shared" si="12"/>
        <v>6.37527071334639</v>
      </c>
      <c r="AP9" s="1" t="e">
        <f t="shared" si="10"/>
        <v>#VALUE!</v>
      </c>
    </row>
    <row r="10" s="1" customFormat="1" spans="1:42">
      <c r="A10" s="1">
        <v>8</v>
      </c>
      <c r="B10" s="6" t="s">
        <v>47</v>
      </c>
      <c r="C10" s="6" t="s">
        <v>47</v>
      </c>
      <c r="D10" s="1" t="s">
        <v>38</v>
      </c>
      <c r="E10" s="10">
        <v>0.07514</v>
      </c>
      <c r="F10" s="1">
        <v>0.006732544</v>
      </c>
      <c r="G10" s="1"/>
      <c r="H10" s="9"/>
      <c r="I10" s="13" t="s">
        <v>36</v>
      </c>
      <c r="J10" s="1">
        <f t="shared" si="1"/>
        <v>94.66077088</v>
      </c>
      <c r="K10" s="14">
        <v>94.66077088</v>
      </c>
      <c r="L10" s="15" t="s">
        <v>36</v>
      </c>
      <c r="M10" s="14">
        <f t="shared" si="2"/>
        <v>51.05379786</v>
      </c>
      <c r="N10" s="14">
        <v>51.05379786</v>
      </c>
      <c r="O10" s="14" t="s">
        <v>36</v>
      </c>
      <c r="P10" s="14">
        <f t="shared" si="3"/>
        <v>30.64727666</v>
      </c>
      <c r="Q10" s="14">
        <v>30.64727666</v>
      </c>
      <c r="R10" s="13" t="s">
        <v>36</v>
      </c>
      <c r="S10" s="1">
        <f t="shared" si="4"/>
        <v>48.1183660966667</v>
      </c>
      <c r="T10" s="20">
        <v>48.1183660966667</v>
      </c>
      <c r="U10" s="13" t="s">
        <v>36</v>
      </c>
      <c r="V10" s="1">
        <v>12375.029</v>
      </c>
      <c r="W10" s="1">
        <v>10697.865</v>
      </c>
      <c r="X10" s="1">
        <f t="shared" si="0"/>
        <v>1677.164</v>
      </c>
      <c r="Y10" s="22">
        <f t="shared" si="5"/>
        <v>0.0182732736094979</v>
      </c>
      <c r="Z10" s="22">
        <v>0.0201</v>
      </c>
      <c r="AA10" s="22">
        <f t="shared" si="11"/>
        <v>0.006732544</v>
      </c>
      <c r="AB10" s="1">
        <v>100</v>
      </c>
      <c r="AC10" s="16">
        <v>425600</v>
      </c>
      <c r="AD10" s="13" t="s">
        <v>36</v>
      </c>
      <c r="AE10" s="25">
        <v>286.1</v>
      </c>
      <c r="AF10" s="20">
        <v>286.1</v>
      </c>
      <c r="AG10" s="20" t="s">
        <v>36</v>
      </c>
      <c r="AH10" s="20">
        <f t="shared" si="6"/>
        <v>611.52578897358</v>
      </c>
      <c r="AI10" s="20">
        <v>611.52578897358</v>
      </c>
      <c r="AJ10" s="1">
        <f t="shared" si="7"/>
        <v>42.7076820943607</v>
      </c>
      <c r="AK10" s="1">
        <f t="shared" si="8"/>
        <v>1495.85516231904</v>
      </c>
      <c r="AL10" s="13" t="s">
        <v>36</v>
      </c>
      <c r="AM10" s="1">
        <f t="shared" si="9"/>
        <v>227.6400113</v>
      </c>
      <c r="AN10" s="1" t="s">
        <v>36</v>
      </c>
      <c r="AO10" s="1">
        <f t="shared" si="12"/>
        <v>6.38845067315298</v>
      </c>
      <c r="AP10" s="1" t="e">
        <f t="shared" si="10"/>
        <v>#VALUE!</v>
      </c>
    </row>
    <row r="11" s="1" customFormat="1" spans="1:43">
      <c r="A11" s="1">
        <v>9</v>
      </c>
      <c r="B11" s="6" t="s">
        <v>48</v>
      </c>
      <c r="C11" s="6" t="s">
        <v>48</v>
      </c>
      <c r="D11" s="1" t="s">
        <v>38</v>
      </c>
      <c r="E11" s="10">
        <v>0.0001269</v>
      </c>
      <c r="F11" s="1">
        <v>1.137024e-5</v>
      </c>
      <c r="G11" s="1"/>
      <c r="H11" s="9"/>
      <c r="I11" s="13" t="s">
        <v>36</v>
      </c>
      <c r="J11" s="1">
        <f t="shared" si="1"/>
        <v>0.1598676048</v>
      </c>
      <c r="K11" s="14">
        <v>0.1598676048</v>
      </c>
      <c r="L11" s="15" t="s">
        <v>36</v>
      </c>
      <c r="M11" s="14">
        <f t="shared" si="2"/>
        <v>0.0862220781</v>
      </c>
      <c r="N11" s="14">
        <v>0.0862220781</v>
      </c>
      <c r="O11" s="14" t="s">
        <v>36</v>
      </c>
      <c r="P11" s="14">
        <f t="shared" si="3"/>
        <v>0.0517585761</v>
      </c>
      <c r="Q11" s="14">
        <v>0.0517585761</v>
      </c>
      <c r="R11" s="13" t="s">
        <v>36</v>
      </c>
      <c r="S11" s="1">
        <f t="shared" si="4"/>
        <v>0.08126458155</v>
      </c>
      <c r="T11" s="20">
        <v>0.08126458155</v>
      </c>
      <c r="U11" s="13" t="s">
        <v>36</v>
      </c>
      <c r="V11" s="1">
        <v>12375.029</v>
      </c>
      <c r="W11" s="1">
        <v>10697.865</v>
      </c>
      <c r="X11" s="1">
        <f t="shared" si="0"/>
        <v>1677.164</v>
      </c>
      <c r="Y11" s="22">
        <f t="shared" si="5"/>
        <v>3.08607721725484e-5</v>
      </c>
      <c r="Z11" s="22">
        <v>0.0201</v>
      </c>
      <c r="AA11" s="22">
        <f t="shared" si="11"/>
        <v>1.137024e-5</v>
      </c>
      <c r="AB11" s="1">
        <v>133</v>
      </c>
      <c r="AC11" s="16">
        <v>425600</v>
      </c>
      <c r="AD11" s="13" t="s">
        <v>36</v>
      </c>
      <c r="AE11" s="25">
        <v>0.584137197</v>
      </c>
      <c r="AF11" s="20">
        <v>0.584137197</v>
      </c>
      <c r="AG11" s="20" t="s">
        <v>36</v>
      </c>
      <c r="AH11" s="20">
        <f t="shared" si="6"/>
        <v>1.0327737905343</v>
      </c>
      <c r="AI11" s="20">
        <v>1.0327737905343</v>
      </c>
      <c r="AJ11" s="1">
        <f t="shared" si="7"/>
        <v>42.5802003226069</v>
      </c>
      <c r="AK11" s="1">
        <f t="shared" si="8"/>
        <v>0.00426648680965834</v>
      </c>
      <c r="AL11" s="13" t="s">
        <v>36</v>
      </c>
      <c r="AM11" s="1">
        <f t="shared" si="9"/>
        <v>0.3844492605</v>
      </c>
      <c r="AN11" s="1" t="s">
        <v>36</v>
      </c>
      <c r="AO11" s="1">
        <f t="shared" si="12"/>
        <v>1.81667863029012e-5</v>
      </c>
      <c r="AQ11" s="16">
        <v>2987</v>
      </c>
    </row>
    <row r="12" s="1" customFormat="1" spans="1:43">
      <c r="A12" s="1">
        <v>10</v>
      </c>
      <c r="B12" s="6" t="s">
        <v>49</v>
      </c>
      <c r="C12" s="6" t="s">
        <v>49</v>
      </c>
      <c r="D12" s="1" t="s">
        <v>38</v>
      </c>
      <c r="E12" s="10">
        <v>0.0001269</v>
      </c>
      <c r="F12" s="1">
        <v>1.137024e-5</v>
      </c>
      <c r="G12" s="1"/>
      <c r="H12" s="9"/>
      <c r="I12" s="13" t="s">
        <v>36</v>
      </c>
      <c r="J12" s="1">
        <f t="shared" si="1"/>
        <v>0.1598676048</v>
      </c>
      <c r="K12" s="14">
        <v>0.1598676048</v>
      </c>
      <c r="L12" s="15" t="s">
        <v>36</v>
      </c>
      <c r="M12" s="14">
        <f t="shared" si="2"/>
        <v>0.0862220781</v>
      </c>
      <c r="N12" s="14">
        <v>0.0862220781</v>
      </c>
      <c r="O12" s="14" t="s">
        <v>36</v>
      </c>
      <c r="P12" s="14">
        <f t="shared" si="3"/>
        <v>0.0517585761</v>
      </c>
      <c r="Q12" s="14">
        <v>0.0517585761</v>
      </c>
      <c r="R12" s="13" t="s">
        <v>36</v>
      </c>
      <c r="S12" s="1">
        <f t="shared" si="4"/>
        <v>0.08126458155</v>
      </c>
      <c r="T12" s="20">
        <v>0.08126458155</v>
      </c>
      <c r="U12" s="13" t="s">
        <v>36</v>
      </c>
      <c r="V12" s="1">
        <v>12375.029</v>
      </c>
      <c r="W12" s="1">
        <v>10697.865</v>
      </c>
      <c r="X12" s="1">
        <f t="shared" si="0"/>
        <v>1677.164</v>
      </c>
      <c r="Y12" s="22">
        <f t="shared" si="5"/>
        <v>3.08607721725484e-5</v>
      </c>
      <c r="Z12" s="22">
        <v>0.0201</v>
      </c>
      <c r="AA12" s="22">
        <f t="shared" si="11"/>
        <v>1.137024e-5</v>
      </c>
      <c r="AB12" s="1">
        <v>75</v>
      </c>
      <c r="AC12" s="16">
        <v>425600</v>
      </c>
      <c r="AD12" s="13" t="s">
        <v>36</v>
      </c>
      <c r="AE12" s="25">
        <v>0.584137197</v>
      </c>
      <c r="AF12" s="20">
        <v>0.584137197</v>
      </c>
      <c r="AG12" s="20" t="s">
        <v>36</v>
      </c>
      <c r="AH12" s="20">
        <f t="shared" si="6"/>
        <v>1.0327737905343</v>
      </c>
      <c r="AI12" s="20">
        <v>1.0327737905343</v>
      </c>
      <c r="AJ12" s="1">
        <f t="shared" si="7"/>
        <v>42.5715003226069</v>
      </c>
      <c r="AK12" s="1">
        <f t="shared" si="8"/>
        <v>0.00426648680965834</v>
      </c>
      <c r="AL12" s="13" t="s">
        <v>36</v>
      </c>
      <c r="AM12" s="1">
        <f t="shared" si="9"/>
        <v>0.3844492605</v>
      </c>
      <c r="AN12" s="1" t="s">
        <v>36</v>
      </c>
      <c r="AO12" s="1">
        <f t="shared" si="12"/>
        <v>1.81630744593768e-5</v>
      </c>
      <c r="AQ12" s="1">
        <v>2368.9</v>
      </c>
    </row>
    <row r="13" s="1" customFormat="1" spans="1:42">
      <c r="A13" s="1">
        <v>11</v>
      </c>
      <c r="B13" s="1" t="s">
        <v>50</v>
      </c>
      <c r="C13" s="1" t="s">
        <v>51</v>
      </c>
      <c r="D13" s="1" t="s">
        <v>52</v>
      </c>
      <c r="E13" s="11">
        <v>0.2033</v>
      </c>
      <c r="F13" s="1">
        <v>0.08132</v>
      </c>
      <c r="G13" s="1"/>
      <c r="H13" s="9"/>
      <c r="I13" s="16" t="s">
        <v>53</v>
      </c>
      <c r="J13" s="16">
        <f t="shared" ref="J13:J19" si="13">7782*E13</f>
        <v>1582.0806</v>
      </c>
      <c r="K13" s="14">
        <f>J13*1.1309</f>
        <v>1789.17495054</v>
      </c>
      <c r="L13" s="14" t="s">
        <v>53</v>
      </c>
      <c r="M13" s="14">
        <f t="shared" ref="M13:M19" si="14">4955*E13</f>
        <v>1007.3515</v>
      </c>
      <c r="N13" s="14">
        <f>M13*1.1309</f>
        <v>1139.21381135</v>
      </c>
      <c r="O13" s="14" t="s">
        <v>53</v>
      </c>
      <c r="P13" s="14">
        <f t="shared" ref="P13:P19" si="15">12698*E13</f>
        <v>2581.5034</v>
      </c>
      <c r="Q13" s="14">
        <f>P13*1.1309</f>
        <v>2919.42219506</v>
      </c>
      <c r="R13" s="1" t="s">
        <v>53</v>
      </c>
      <c r="S13" s="1">
        <f t="shared" si="4"/>
        <v>1890.21563333333</v>
      </c>
      <c r="T13" s="20">
        <f>S13*1.1309</f>
        <v>2137.64485973667</v>
      </c>
      <c r="U13" s="1" t="s">
        <v>53</v>
      </c>
      <c r="V13" s="1">
        <v>125311</v>
      </c>
      <c r="W13" s="1">
        <v>20241</v>
      </c>
      <c r="X13" s="1">
        <f t="shared" si="0"/>
        <v>105070</v>
      </c>
      <c r="Y13" s="22">
        <f t="shared" si="5"/>
        <v>0.0245693670886076</v>
      </c>
      <c r="Z13" s="22">
        <v>-0.36</v>
      </c>
      <c r="AA13" s="22">
        <f t="shared" ref="AA13:AA19" si="16">40%*E13</f>
        <v>0.08132</v>
      </c>
      <c r="AB13" s="1">
        <v>76</v>
      </c>
      <c r="AC13" s="16">
        <v>425600</v>
      </c>
      <c r="AD13" s="13" t="s">
        <v>53</v>
      </c>
      <c r="AE13" s="1">
        <v>5715.852688</v>
      </c>
      <c r="AF13" s="20">
        <f>AE13*1.1309</f>
        <v>6464.0578048592</v>
      </c>
      <c r="AG13" s="20" t="s">
        <v>53</v>
      </c>
      <c r="AH13" s="20">
        <f>1.4*30896*E13</f>
        <v>8793.61952</v>
      </c>
      <c r="AI13" s="20">
        <f>AH13*1.1309</f>
        <v>9944.704315168</v>
      </c>
      <c r="AJ13" s="1">
        <f t="shared" si="7"/>
        <v>44.8797299109367</v>
      </c>
      <c r="AK13" s="1">
        <f t="shared" si="8"/>
        <v>395588.575664484</v>
      </c>
      <c r="AL13" s="1" t="s">
        <v>53</v>
      </c>
      <c r="AM13" s="1">
        <f t="shared" ref="AM13:AM19" si="17">20873*E13</f>
        <v>4243.4809</v>
      </c>
      <c r="AN13" s="1" t="s">
        <v>36</v>
      </c>
      <c r="AO13" s="1">
        <f t="shared" si="12"/>
        <v>1775.39084316742</v>
      </c>
      <c r="AP13" s="1">
        <v>7042</v>
      </c>
    </row>
    <row r="14" s="1" customFormat="1" spans="1:42">
      <c r="A14" s="1">
        <v>12</v>
      </c>
      <c r="B14" s="1" t="s">
        <v>54</v>
      </c>
      <c r="C14" s="1" t="s">
        <v>55</v>
      </c>
      <c r="D14" s="1" t="s">
        <v>52</v>
      </c>
      <c r="E14" s="10">
        <v>0.118694</v>
      </c>
      <c r="F14" s="1">
        <v>0.0474776</v>
      </c>
      <c r="G14" s="1"/>
      <c r="H14" s="9"/>
      <c r="I14" s="16" t="s">
        <v>53</v>
      </c>
      <c r="J14" s="16">
        <f t="shared" si="13"/>
        <v>923.676708</v>
      </c>
      <c r="K14" s="14">
        <f t="shared" ref="K14:K19" si="18">J14*1.1309</f>
        <v>1044.5859890772</v>
      </c>
      <c r="L14" s="14" t="s">
        <v>53</v>
      </c>
      <c r="M14" s="14">
        <f t="shared" si="14"/>
        <v>588.12877</v>
      </c>
      <c r="N14" s="14">
        <f t="shared" ref="N14:N19" si="19">M14*1.1309</f>
        <v>665.114825993</v>
      </c>
      <c r="O14" s="14" t="s">
        <v>53</v>
      </c>
      <c r="P14" s="14">
        <f t="shared" si="15"/>
        <v>1507.176412</v>
      </c>
      <c r="Q14" s="14">
        <f t="shared" ref="Q14:Q19" si="20">P14*1.1309</f>
        <v>1704.4658043308</v>
      </c>
      <c r="R14" s="1" t="s">
        <v>53</v>
      </c>
      <c r="S14" s="1">
        <f t="shared" si="4"/>
        <v>1103.57724733333</v>
      </c>
      <c r="T14" s="20">
        <f t="shared" ref="T14:T19" si="21">S14*1.1309</f>
        <v>1248.03550900927</v>
      </c>
      <c r="U14" s="1" t="s">
        <v>53</v>
      </c>
      <c r="V14" s="1">
        <v>125311</v>
      </c>
      <c r="W14" s="1">
        <v>20241</v>
      </c>
      <c r="X14" s="1">
        <f t="shared" si="0"/>
        <v>105070</v>
      </c>
      <c r="Y14" s="22">
        <f t="shared" si="5"/>
        <v>0.0143444980679547</v>
      </c>
      <c r="Z14" s="22">
        <v>-0.36</v>
      </c>
      <c r="AA14" s="22">
        <f t="shared" si="16"/>
        <v>0.0474776</v>
      </c>
      <c r="AB14" s="1">
        <v>75</v>
      </c>
      <c r="AC14" s="16">
        <v>425600</v>
      </c>
      <c r="AD14" s="13" t="s">
        <v>53</v>
      </c>
      <c r="AE14" s="1">
        <v>3447.111148</v>
      </c>
      <c r="AF14" s="20">
        <f t="shared" ref="AF14:AF19" si="22">AE14*1.1309</f>
        <v>3898.3379972732</v>
      </c>
      <c r="AG14" s="20" t="s">
        <v>53</v>
      </c>
      <c r="AH14" s="20">
        <f t="shared" ref="AH14:AH19" si="23">1.4*30896*E14</f>
        <v>5134.0377536</v>
      </c>
      <c r="AI14" s="20">
        <f t="shared" ref="AI14:AI19" si="24">AH14*1.1309</f>
        <v>5806.08329554624</v>
      </c>
      <c r="AJ14" s="1">
        <f t="shared" si="7"/>
        <v>43.9464268662098</v>
      </c>
      <c r="AK14" s="1">
        <f t="shared" si="8"/>
        <v>134842.412939284</v>
      </c>
      <c r="AL14" s="1" t="s">
        <v>53</v>
      </c>
      <c r="AM14" s="1">
        <f t="shared" si="17"/>
        <v>2477.499862</v>
      </c>
      <c r="AN14" s="1" t="s">
        <v>36</v>
      </c>
      <c r="AO14" s="1">
        <f t="shared" si="12"/>
        <v>592.584223869952</v>
      </c>
      <c r="AP14" s="1" t="e">
        <f t="shared" ref="AP14:AP22" si="25">AK14*AL14</f>
        <v>#VALUE!</v>
      </c>
    </row>
    <row r="15" s="1" customFormat="1" spans="1:43">
      <c r="A15" s="1">
        <v>13</v>
      </c>
      <c r="B15" s="1" t="s">
        <v>56</v>
      </c>
      <c r="C15" s="1" t="s">
        <v>57</v>
      </c>
      <c r="D15" s="1" t="s">
        <v>52</v>
      </c>
      <c r="E15" s="10">
        <v>0.118694</v>
      </c>
      <c r="F15" s="1">
        <v>0.0474776</v>
      </c>
      <c r="G15" s="1"/>
      <c r="H15" s="9"/>
      <c r="I15" s="16" t="s">
        <v>53</v>
      </c>
      <c r="J15" s="16">
        <f t="shared" si="13"/>
        <v>923.676708</v>
      </c>
      <c r="K15" s="14">
        <f t="shared" si="18"/>
        <v>1044.5859890772</v>
      </c>
      <c r="L15" s="14" t="s">
        <v>53</v>
      </c>
      <c r="M15" s="14">
        <f t="shared" si="14"/>
        <v>588.12877</v>
      </c>
      <c r="N15" s="14">
        <f t="shared" si="19"/>
        <v>665.114825993</v>
      </c>
      <c r="O15" s="14" t="s">
        <v>53</v>
      </c>
      <c r="P15" s="14">
        <f t="shared" si="15"/>
        <v>1507.176412</v>
      </c>
      <c r="Q15" s="14">
        <f t="shared" si="20"/>
        <v>1704.4658043308</v>
      </c>
      <c r="R15" s="1" t="s">
        <v>53</v>
      </c>
      <c r="S15" s="1">
        <f t="shared" si="4"/>
        <v>1103.57724733333</v>
      </c>
      <c r="T15" s="20">
        <f t="shared" si="21"/>
        <v>1248.03550900927</v>
      </c>
      <c r="U15" s="1" t="s">
        <v>53</v>
      </c>
      <c r="V15" s="1">
        <v>125311</v>
      </c>
      <c r="W15" s="1">
        <v>20241</v>
      </c>
      <c r="X15" s="1">
        <f t="shared" si="0"/>
        <v>105070</v>
      </c>
      <c r="Y15" s="22">
        <f t="shared" si="5"/>
        <v>0.0143444980679547</v>
      </c>
      <c r="Z15" s="22">
        <v>-0.36</v>
      </c>
      <c r="AA15" s="22">
        <f t="shared" si="16"/>
        <v>0.0474776</v>
      </c>
      <c r="AB15" s="1">
        <v>97</v>
      </c>
      <c r="AC15" s="16">
        <v>425600</v>
      </c>
      <c r="AD15" s="13" t="s">
        <v>53</v>
      </c>
      <c r="AE15" s="1">
        <v>3447.111148</v>
      </c>
      <c r="AF15" s="20">
        <f t="shared" si="22"/>
        <v>3898.3379972732</v>
      </c>
      <c r="AG15" s="20" t="s">
        <v>53</v>
      </c>
      <c r="AH15" s="20">
        <f t="shared" si="23"/>
        <v>5134.0377536</v>
      </c>
      <c r="AI15" s="20">
        <f t="shared" si="24"/>
        <v>5806.08329554624</v>
      </c>
      <c r="AJ15" s="1">
        <f t="shared" si="7"/>
        <v>43.9497268662098</v>
      </c>
      <c r="AK15" s="1">
        <f t="shared" si="8"/>
        <v>134842.412939284</v>
      </c>
      <c r="AL15" s="1" t="s">
        <v>53</v>
      </c>
      <c r="AM15" s="1">
        <f t="shared" si="17"/>
        <v>2477.499862</v>
      </c>
      <c r="AN15" s="1" t="s">
        <v>53</v>
      </c>
      <c r="AO15" s="1">
        <f t="shared" si="12"/>
        <v>592.628721866222</v>
      </c>
      <c r="AQ15" s="1">
        <v>6300</v>
      </c>
    </row>
    <row r="16" s="1" customFormat="1" spans="1:43">
      <c r="A16" s="1">
        <v>14</v>
      </c>
      <c r="B16" s="1" t="s">
        <v>58</v>
      </c>
      <c r="C16" s="1" t="s">
        <v>59</v>
      </c>
      <c r="D16" s="1" t="s">
        <v>52</v>
      </c>
      <c r="E16" s="10">
        <v>0.118694</v>
      </c>
      <c r="F16" s="1">
        <v>0.0474776</v>
      </c>
      <c r="G16" s="1"/>
      <c r="H16" s="9"/>
      <c r="I16" s="16" t="s">
        <v>53</v>
      </c>
      <c r="J16" s="16">
        <f t="shared" si="13"/>
        <v>923.676708</v>
      </c>
      <c r="K16" s="14">
        <f t="shared" si="18"/>
        <v>1044.5859890772</v>
      </c>
      <c r="L16" s="14" t="s">
        <v>53</v>
      </c>
      <c r="M16" s="14">
        <f t="shared" si="14"/>
        <v>588.12877</v>
      </c>
      <c r="N16" s="14">
        <f t="shared" si="19"/>
        <v>665.114825993</v>
      </c>
      <c r="O16" s="14" t="s">
        <v>53</v>
      </c>
      <c r="P16" s="14">
        <f t="shared" si="15"/>
        <v>1507.176412</v>
      </c>
      <c r="Q16" s="14">
        <f t="shared" si="20"/>
        <v>1704.4658043308</v>
      </c>
      <c r="R16" s="1" t="s">
        <v>53</v>
      </c>
      <c r="S16" s="1">
        <f t="shared" si="4"/>
        <v>1103.57724733333</v>
      </c>
      <c r="T16" s="20">
        <f t="shared" si="21"/>
        <v>1248.03550900927</v>
      </c>
      <c r="U16" s="1" t="s">
        <v>53</v>
      </c>
      <c r="V16" s="1">
        <v>125311</v>
      </c>
      <c r="W16" s="1">
        <v>20241</v>
      </c>
      <c r="X16" s="1">
        <f t="shared" si="0"/>
        <v>105070</v>
      </c>
      <c r="Y16" s="22">
        <f t="shared" si="5"/>
        <v>0.0143444980679547</v>
      </c>
      <c r="Z16" s="22">
        <v>-0.36</v>
      </c>
      <c r="AA16" s="22">
        <f t="shared" si="16"/>
        <v>0.0474776</v>
      </c>
      <c r="AB16" s="1">
        <v>128</v>
      </c>
      <c r="AC16" s="16">
        <v>425600</v>
      </c>
      <c r="AD16" s="13" t="s">
        <v>53</v>
      </c>
      <c r="AE16" s="1">
        <v>3447.111148</v>
      </c>
      <c r="AF16" s="20">
        <f t="shared" si="22"/>
        <v>3898.3379972732</v>
      </c>
      <c r="AG16" s="20" t="s">
        <v>53</v>
      </c>
      <c r="AH16" s="20">
        <f t="shared" si="23"/>
        <v>5134.0377536</v>
      </c>
      <c r="AI16" s="20">
        <f t="shared" si="24"/>
        <v>5806.08329554624</v>
      </c>
      <c r="AJ16" s="1">
        <f t="shared" si="7"/>
        <v>43.9543768662098</v>
      </c>
      <c r="AK16" s="1">
        <f t="shared" si="8"/>
        <v>134842.412939284</v>
      </c>
      <c r="AL16" s="1" t="s">
        <v>53</v>
      </c>
      <c r="AM16" s="1">
        <f t="shared" si="17"/>
        <v>2477.499862</v>
      </c>
      <c r="AN16" s="1" t="s">
        <v>36</v>
      </c>
      <c r="AO16" s="1">
        <f t="shared" si="12"/>
        <v>592.691423588238</v>
      </c>
      <c r="AQ16" s="1">
        <v>75730</v>
      </c>
    </row>
    <row r="17" s="1" customFormat="1" spans="1:42">
      <c r="A17" s="1">
        <v>15</v>
      </c>
      <c r="B17" s="1" t="s">
        <v>60</v>
      </c>
      <c r="C17" s="1" t="s">
        <v>61</v>
      </c>
      <c r="D17" s="1" t="s">
        <v>52</v>
      </c>
      <c r="E17" s="10">
        <v>0.118694</v>
      </c>
      <c r="F17" s="1">
        <v>0.0474776</v>
      </c>
      <c r="G17" s="1"/>
      <c r="H17" s="9"/>
      <c r="I17" s="16" t="s">
        <v>53</v>
      </c>
      <c r="J17" s="16">
        <f t="shared" si="13"/>
        <v>923.676708</v>
      </c>
      <c r="K17" s="14">
        <f t="shared" si="18"/>
        <v>1044.5859890772</v>
      </c>
      <c r="L17" s="14" t="s">
        <v>53</v>
      </c>
      <c r="M17" s="14">
        <f t="shared" si="14"/>
        <v>588.12877</v>
      </c>
      <c r="N17" s="14">
        <f t="shared" si="19"/>
        <v>665.114825993</v>
      </c>
      <c r="O17" s="14" t="s">
        <v>53</v>
      </c>
      <c r="P17" s="14">
        <f t="shared" si="15"/>
        <v>1507.176412</v>
      </c>
      <c r="Q17" s="14">
        <f t="shared" si="20"/>
        <v>1704.4658043308</v>
      </c>
      <c r="R17" s="1" t="s">
        <v>53</v>
      </c>
      <c r="S17" s="1">
        <f t="shared" si="4"/>
        <v>1103.57724733333</v>
      </c>
      <c r="T17" s="20">
        <f t="shared" si="21"/>
        <v>1248.03550900927</v>
      </c>
      <c r="U17" s="1" t="s">
        <v>53</v>
      </c>
      <c r="V17" s="1">
        <v>125311</v>
      </c>
      <c r="W17" s="1">
        <v>20241</v>
      </c>
      <c r="X17" s="1">
        <f t="shared" si="0"/>
        <v>105070</v>
      </c>
      <c r="Y17" s="22">
        <f t="shared" si="5"/>
        <v>0.0143444980679547</v>
      </c>
      <c r="Z17" s="22">
        <v>-0.36</v>
      </c>
      <c r="AA17" s="22">
        <f t="shared" si="16"/>
        <v>0.0474776</v>
      </c>
      <c r="AB17" s="1">
        <v>98</v>
      </c>
      <c r="AC17" s="16">
        <v>425600</v>
      </c>
      <c r="AD17" s="13" t="s">
        <v>53</v>
      </c>
      <c r="AE17" s="1">
        <v>3447.111148</v>
      </c>
      <c r="AF17" s="20">
        <f t="shared" si="22"/>
        <v>3898.3379972732</v>
      </c>
      <c r="AG17" s="20" t="s">
        <v>53</v>
      </c>
      <c r="AH17" s="20">
        <f t="shared" si="23"/>
        <v>5134.0377536</v>
      </c>
      <c r="AI17" s="20">
        <f t="shared" si="24"/>
        <v>5806.08329554624</v>
      </c>
      <c r="AJ17" s="1">
        <f t="shared" si="7"/>
        <v>43.9498768662098</v>
      </c>
      <c r="AK17" s="1">
        <f t="shared" si="8"/>
        <v>134842.412939284</v>
      </c>
      <c r="AL17" s="1" t="s">
        <v>53</v>
      </c>
      <c r="AM17" s="1">
        <f t="shared" si="17"/>
        <v>2477.499862</v>
      </c>
      <c r="AN17" s="1" t="s">
        <v>36</v>
      </c>
      <c r="AO17" s="1">
        <f t="shared" si="12"/>
        <v>592.630744502416</v>
      </c>
      <c r="AP17" s="1" t="e">
        <f t="shared" si="25"/>
        <v>#VALUE!</v>
      </c>
    </row>
    <row r="18" s="1" customFormat="1" spans="1:42">
      <c r="A18" s="1">
        <v>16</v>
      </c>
      <c r="B18" s="1" t="s">
        <v>62</v>
      </c>
      <c r="C18" s="1" t="s">
        <v>63</v>
      </c>
      <c r="D18" s="1" t="s">
        <v>52</v>
      </c>
      <c r="E18" s="11">
        <v>0.2033</v>
      </c>
      <c r="F18" s="1">
        <v>0.08132</v>
      </c>
      <c r="G18" s="1"/>
      <c r="H18" s="9"/>
      <c r="I18" s="16" t="s">
        <v>53</v>
      </c>
      <c r="J18" s="16">
        <f t="shared" si="13"/>
        <v>1582.0806</v>
      </c>
      <c r="K18" s="14">
        <f t="shared" si="18"/>
        <v>1789.17495054</v>
      </c>
      <c r="L18" s="14" t="s">
        <v>53</v>
      </c>
      <c r="M18" s="14">
        <f t="shared" si="14"/>
        <v>1007.3515</v>
      </c>
      <c r="N18" s="14">
        <f t="shared" si="19"/>
        <v>1139.21381135</v>
      </c>
      <c r="O18" s="14" t="s">
        <v>53</v>
      </c>
      <c r="P18" s="14">
        <f t="shared" si="15"/>
        <v>2581.5034</v>
      </c>
      <c r="Q18" s="14">
        <f t="shared" si="20"/>
        <v>2919.42219506</v>
      </c>
      <c r="R18" s="1" t="s">
        <v>53</v>
      </c>
      <c r="S18" s="1">
        <f t="shared" si="4"/>
        <v>1890.21563333333</v>
      </c>
      <c r="T18" s="20">
        <f t="shared" si="21"/>
        <v>2137.64485973667</v>
      </c>
      <c r="U18" s="1" t="s">
        <v>53</v>
      </c>
      <c r="V18" s="1">
        <v>125311</v>
      </c>
      <c r="W18" s="1">
        <v>20241</v>
      </c>
      <c r="X18" s="1">
        <f t="shared" si="0"/>
        <v>105070</v>
      </c>
      <c r="Y18" s="22">
        <f t="shared" si="5"/>
        <v>0.0245693670886076</v>
      </c>
      <c r="Z18" s="22">
        <v>-0.36</v>
      </c>
      <c r="AA18" s="22">
        <f t="shared" si="16"/>
        <v>0.08132</v>
      </c>
      <c r="AB18" s="1">
        <v>35</v>
      </c>
      <c r="AC18" s="16">
        <v>425600</v>
      </c>
      <c r="AD18" s="13" t="s">
        <v>53</v>
      </c>
      <c r="AE18" s="1">
        <v>5904.2386</v>
      </c>
      <c r="AF18" s="20">
        <f t="shared" si="22"/>
        <v>6677.10343274</v>
      </c>
      <c r="AG18" s="20" t="s">
        <v>53</v>
      </c>
      <c r="AH18" s="20">
        <f t="shared" si="23"/>
        <v>8793.61952</v>
      </c>
      <c r="AI18" s="20">
        <f t="shared" si="24"/>
        <v>9944.704315168</v>
      </c>
      <c r="AJ18" s="1">
        <f t="shared" si="7"/>
        <v>44.9206763889367</v>
      </c>
      <c r="AK18" s="1">
        <f t="shared" si="8"/>
        <v>395588.575664484</v>
      </c>
      <c r="AL18" s="1" t="s">
        <v>53</v>
      </c>
      <c r="AM18" s="1">
        <f t="shared" si="17"/>
        <v>4243.4809</v>
      </c>
      <c r="AN18" s="1" t="s">
        <v>36</v>
      </c>
      <c r="AO18" s="1">
        <f t="shared" si="12"/>
        <v>1777.01063905847</v>
      </c>
      <c r="AP18" s="1">
        <v>36766</v>
      </c>
    </row>
    <row r="19" s="1" customFormat="1" spans="1:42">
      <c r="A19" s="1">
        <v>17</v>
      </c>
      <c r="B19" s="1" t="s">
        <v>64</v>
      </c>
      <c r="C19" s="1" t="s">
        <v>65</v>
      </c>
      <c r="D19" s="1" t="s">
        <v>52</v>
      </c>
      <c r="E19" s="10">
        <v>0.118694</v>
      </c>
      <c r="F19" s="1">
        <v>0.0474776</v>
      </c>
      <c r="G19" s="1"/>
      <c r="H19" s="9"/>
      <c r="I19" s="16" t="s">
        <v>53</v>
      </c>
      <c r="J19" s="16">
        <f t="shared" si="13"/>
        <v>923.676708</v>
      </c>
      <c r="K19" s="14">
        <f t="shared" si="18"/>
        <v>1044.5859890772</v>
      </c>
      <c r="L19" s="14" t="s">
        <v>53</v>
      </c>
      <c r="M19" s="14">
        <f t="shared" si="14"/>
        <v>588.12877</v>
      </c>
      <c r="N19" s="14">
        <f t="shared" si="19"/>
        <v>665.114825993</v>
      </c>
      <c r="O19" s="14" t="s">
        <v>53</v>
      </c>
      <c r="P19" s="14">
        <f t="shared" si="15"/>
        <v>1507.176412</v>
      </c>
      <c r="Q19" s="14">
        <f t="shared" si="20"/>
        <v>1704.4658043308</v>
      </c>
      <c r="R19" s="1" t="s">
        <v>53</v>
      </c>
      <c r="S19" s="1">
        <f t="shared" si="4"/>
        <v>1103.57724733333</v>
      </c>
      <c r="T19" s="20">
        <f t="shared" si="21"/>
        <v>1248.03550900927</v>
      </c>
      <c r="U19" s="1" t="s">
        <v>53</v>
      </c>
      <c r="V19" s="1">
        <v>125311</v>
      </c>
      <c r="W19" s="1">
        <v>20241</v>
      </c>
      <c r="X19" s="1">
        <f t="shared" si="0"/>
        <v>105070</v>
      </c>
      <c r="Y19" s="22">
        <f t="shared" si="5"/>
        <v>0.0143444980679547</v>
      </c>
      <c r="Z19" s="22">
        <v>-0.36</v>
      </c>
      <c r="AA19" s="22">
        <f t="shared" si="16"/>
        <v>0.0474776</v>
      </c>
      <c r="AB19" s="1">
        <v>36</v>
      </c>
      <c r="AC19" s="16">
        <v>425600</v>
      </c>
      <c r="AD19" s="13" t="s">
        <v>53</v>
      </c>
      <c r="AE19" s="1">
        <v>3447.111148</v>
      </c>
      <c r="AF19" s="20">
        <f t="shared" si="22"/>
        <v>3898.3379972732</v>
      </c>
      <c r="AG19" s="20" t="s">
        <v>53</v>
      </c>
      <c r="AH19" s="20">
        <f t="shared" si="23"/>
        <v>5134.0377536</v>
      </c>
      <c r="AI19" s="20">
        <f t="shared" si="24"/>
        <v>5806.08329554624</v>
      </c>
      <c r="AJ19" s="1">
        <f t="shared" si="7"/>
        <v>43.9405768662098</v>
      </c>
      <c r="AK19" s="1">
        <f t="shared" si="8"/>
        <v>134842.412939284</v>
      </c>
      <c r="AL19" s="1" t="s">
        <v>53</v>
      </c>
      <c r="AM19" s="1">
        <f t="shared" si="17"/>
        <v>2477.499862</v>
      </c>
      <c r="AN19" s="1" t="s">
        <v>36</v>
      </c>
      <c r="AO19" s="1">
        <f t="shared" si="12"/>
        <v>592.505341058382</v>
      </c>
      <c r="AP19" s="1" t="e">
        <f t="shared" si="25"/>
        <v>#VALUE!</v>
      </c>
    </row>
    <row r="20" s="1" customFormat="1" spans="1:42">
      <c r="A20" s="1">
        <v>18</v>
      </c>
      <c r="B20" s="1" t="s">
        <v>66</v>
      </c>
      <c r="C20" s="1" t="s">
        <v>67</v>
      </c>
      <c r="D20" s="1" t="s">
        <v>68</v>
      </c>
      <c r="E20" s="11">
        <v>0.11</v>
      </c>
      <c r="F20" s="1">
        <v>0.0275</v>
      </c>
      <c r="G20" s="1"/>
      <c r="H20" s="9"/>
      <c r="I20" s="13" t="s">
        <v>53</v>
      </c>
      <c r="J20" s="1">
        <f>2208.4*E20</f>
        <v>242.924</v>
      </c>
      <c r="K20" s="14">
        <f>J20*1.1296</f>
        <v>274.4069504</v>
      </c>
      <c r="L20" s="15" t="s">
        <v>53</v>
      </c>
      <c r="M20" s="14">
        <f>2189.7*E20</f>
        <v>240.867</v>
      </c>
      <c r="N20" s="14">
        <f>M20*1.1296</f>
        <v>272.0833632</v>
      </c>
      <c r="O20" s="14" t="s">
        <v>53</v>
      </c>
      <c r="P20" s="14">
        <f>3244.8*E20</f>
        <v>356.928</v>
      </c>
      <c r="Q20" s="14">
        <f>P20*1.1296</f>
        <v>403.1858688</v>
      </c>
      <c r="R20" s="13" t="s">
        <v>53</v>
      </c>
      <c r="S20" s="1">
        <f t="shared" si="4"/>
        <v>299.240333333333</v>
      </c>
      <c r="T20" s="20">
        <f>S20*1.1296</f>
        <v>338.021880533333</v>
      </c>
      <c r="U20" s="13" t="s">
        <v>53</v>
      </c>
      <c r="V20" s="1">
        <v>31067.6</v>
      </c>
      <c r="W20" s="1">
        <v>8724.7</v>
      </c>
      <c r="X20" s="1">
        <f t="shared" si="0"/>
        <v>22342.9</v>
      </c>
      <c r="Y20" s="22">
        <f t="shared" si="5"/>
        <v>0.0159750077205734</v>
      </c>
      <c r="Z20" s="22">
        <v>0.024</v>
      </c>
      <c r="AA20" s="22">
        <f>25%*E20</f>
        <v>0.0275</v>
      </c>
      <c r="AB20" s="1">
        <v>30</v>
      </c>
      <c r="AC20" s="16">
        <v>425600</v>
      </c>
      <c r="AD20" s="13" t="s">
        <v>53</v>
      </c>
      <c r="AE20" s="1">
        <v>1494.57</v>
      </c>
      <c r="AF20" s="20">
        <f>AE20*1.1296</f>
        <v>1688.266272</v>
      </c>
      <c r="AG20" s="20" t="s">
        <v>53</v>
      </c>
      <c r="AH20" s="20">
        <f>1.3*17645*E20</f>
        <v>2523.235</v>
      </c>
      <c r="AI20" s="20">
        <f>AH20*1.1296</f>
        <v>2850.246256</v>
      </c>
      <c r="AJ20" s="1">
        <f t="shared" si="7"/>
        <v>43.1904756725008</v>
      </c>
      <c r="AK20" s="1">
        <f t="shared" si="8"/>
        <v>32495.6148793681</v>
      </c>
      <c r="AL20" s="1" t="s">
        <v>53</v>
      </c>
      <c r="AM20" s="1">
        <f>7032.1*E20</f>
        <v>773.531</v>
      </c>
      <c r="AN20" s="1" t="s">
        <v>36</v>
      </c>
      <c r="AO20" s="1">
        <f t="shared" si="12"/>
        <v>140.35010639103</v>
      </c>
      <c r="AP20" s="1" t="e">
        <f t="shared" si="25"/>
        <v>#VALUE!</v>
      </c>
    </row>
    <row r="21" s="1" customFormat="1" spans="1:42">
      <c r="A21" s="1">
        <v>19</v>
      </c>
      <c r="B21" s="1" t="s">
        <v>69</v>
      </c>
      <c r="C21" s="1" t="s">
        <v>70</v>
      </c>
      <c r="D21" s="1" t="s">
        <v>68</v>
      </c>
      <c r="E21" s="11">
        <v>0.11</v>
      </c>
      <c r="F21" s="1">
        <v>0.0275</v>
      </c>
      <c r="G21" s="1"/>
      <c r="H21" s="9"/>
      <c r="I21" s="13" t="s">
        <v>53</v>
      </c>
      <c r="J21" s="1">
        <f>2208.4*E21</f>
        <v>242.924</v>
      </c>
      <c r="K21" s="14">
        <f>J21*1.1296</f>
        <v>274.4069504</v>
      </c>
      <c r="L21" s="15" t="s">
        <v>53</v>
      </c>
      <c r="M21" s="14">
        <f>2189.7*E21</f>
        <v>240.867</v>
      </c>
      <c r="N21" s="14">
        <f>M21*1.1296</f>
        <v>272.0833632</v>
      </c>
      <c r="O21" s="14" t="s">
        <v>53</v>
      </c>
      <c r="P21" s="14">
        <f>3244.8*E21</f>
        <v>356.928</v>
      </c>
      <c r="Q21" s="14">
        <f>P21*1.1296</f>
        <v>403.1858688</v>
      </c>
      <c r="R21" s="13" t="s">
        <v>53</v>
      </c>
      <c r="S21" s="1">
        <f t="shared" si="4"/>
        <v>299.240333333333</v>
      </c>
      <c r="T21" s="20">
        <f>S21*1.1296</f>
        <v>338.021880533333</v>
      </c>
      <c r="U21" s="13" t="s">
        <v>53</v>
      </c>
      <c r="V21" s="1">
        <v>31067.6</v>
      </c>
      <c r="W21" s="1">
        <v>8724.7</v>
      </c>
      <c r="X21" s="1">
        <f t="shared" si="0"/>
        <v>22342.9</v>
      </c>
      <c r="Y21" s="22">
        <f t="shared" si="5"/>
        <v>0.0159750077205734</v>
      </c>
      <c r="Z21" s="22">
        <v>0.024</v>
      </c>
      <c r="AA21" s="22">
        <f>25%*E21</f>
        <v>0.0275</v>
      </c>
      <c r="AB21" s="1">
        <v>105</v>
      </c>
      <c r="AC21" s="16">
        <v>425600</v>
      </c>
      <c r="AD21" s="13" t="s">
        <v>53</v>
      </c>
      <c r="AE21" s="1">
        <v>1494.57</v>
      </c>
      <c r="AF21" s="20">
        <f>AE21*1.1296</f>
        <v>1688.266272</v>
      </c>
      <c r="AG21" s="20" t="s">
        <v>53</v>
      </c>
      <c r="AH21" s="20">
        <f>1.3*17645*E21</f>
        <v>2523.235</v>
      </c>
      <c r="AI21" s="20">
        <f>AH21*1.1296</f>
        <v>2850.246256</v>
      </c>
      <c r="AJ21" s="1">
        <f t="shared" si="7"/>
        <v>43.2017256725008</v>
      </c>
      <c r="AK21" s="1">
        <f t="shared" si="8"/>
        <v>32495.6148793681</v>
      </c>
      <c r="AL21" s="1" t="s">
        <v>53</v>
      </c>
      <c r="AM21" s="1">
        <f>7032.1*E21</f>
        <v>773.531</v>
      </c>
      <c r="AN21" s="1" t="s">
        <v>36</v>
      </c>
      <c r="AO21" s="1">
        <f t="shared" si="12"/>
        <v>140.386663957769</v>
      </c>
      <c r="AP21" s="1" t="e">
        <f t="shared" si="25"/>
        <v>#VALUE!</v>
      </c>
    </row>
    <row r="22" s="1" customFormat="1" spans="1:42">
      <c r="A22" s="1">
        <v>20</v>
      </c>
      <c r="B22" s="1" t="s">
        <v>71</v>
      </c>
      <c r="C22" s="1" t="s">
        <v>72</v>
      </c>
      <c r="D22" s="1" t="s">
        <v>68</v>
      </c>
      <c r="E22" s="11">
        <v>0.09</v>
      </c>
      <c r="F22" s="11">
        <v>0.0225</v>
      </c>
      <c r="G22" s="1"/>
      <c r="H22" s="9"/>
      <c r="I22" s="13" t="s">
        <v>53</v>
      </c>
      <c r="J22" s="1">
        <f>2208.4*E22</f>
        <v>198.756</v>
      </c>
      <c r="K22" s="14">
        <f>J22*1.1296</f>
        <v>224.5147776</v>
      </c>
      <c r="L22" s="15" t="s">
        <v>53</v>
      </c>
      <c r="M22" s="14">
        <f>2189.7*E22</f>
        <v>197.073</v>
      </c>
      <c r="N22" s="14">
        <f>M22*1.1296</f>
        <v>222.6136608</v>
      </c>
      <c r="O22" s="14" t="s">
        <v>53</v>
      </c>
      <c r="P22" s="14">
        <f>3244.8*E22</f>
        <v>292.032</v>
      </c>
      <c r="Q22" s="14">
        <f>P22*1.1296</f>
        <v>329.8793472</v>
      </c>
      <c r="R22" s="13" t="s">
        <v>53</v>
      </c>
      <c r="S22" s="1">
        <f t="shared" si="4"/>
        <v>244.833</v>
      </c>
      <c r="T22" s="20">
        <f>S22*1.1296</f>
        <v>276.5633568</v>
      </c>
      <c r="U22" s="13" t="s">
        <v>53</v>
      </c>
      <c r="V22" s="1">
        <v>31067.6</v>
      </c>
      <c r="W22" s="1">
        <v>8724.7</v>
      </c>
      <c r="X22" s="1">
        <f t="shared" si="0"/>
        <v>22342.9</v>
      </c>
      <c r="Y22" s="22">
        <f t="shared" si="5"/>
        <v>0.0130704608622873</v>
      </c>
      <c r="Z22" s="22">
        <v>0.024</v>
      </c>
      <c r="AA22" s="22">
        <f>25%*E22</f>
        <v>0.0225</v>
      </c>
      <c r="AB22" s="1">
        <v>56</v>
      </c>
      <c r="AC22" s="16">
        <v>425600</v>
      </c>
      <c r="AD22" s="13" t="s">
        <v>53</v>
      </c>
      <c r="AE22" s="1">
        <v>1157.156</v>
      </c>
      <c r="AF22" s="20">
        <f>AE22*1.1296</f>
        <v>1307.1234176</v>
      </c>
      <c r="AG22" s="20" t="s">
        <v>53</v>
      </c>
      <c r="AH22" s="20">
        <f>1.3*17645*E22</f>
        <v>2064.465</v>
      </c>
      <c r="AI22" s="20">
        <f>AH22*1.1296</f>
        <v>2332.019664</v>
      </c>
      <c r="AJ22" s="1">
        <f t="shared" si="7"/>
        <v>43.0641436320461</v>
      </c>
      <c r="AK22" s="1">
        <f t="shared" si="8"/>
        <v>21753.2628531307</v>
      </c>
      <c r="AL22" s="1" t="s">
        <v>53</v>
      </c>
      <c r="AM22" s="1">
        <f>7032.1*E22</f>
        <v>632.889</v>
      </c>
      <c r="AN22" s="1" t="s">
        <v>36</v>
      </c>
      <c r="AO22" s="1">
        <f t="shared" si="12"/>
        <v>93.6785635972873</v>
      </c>
      <c r="AP22" s="1" t="e">
        <f t="shared" si="25"/>
        <v>#VALUE!</v>
      </c>
    </row>
    <row r="23" s="1" customFormat="1" spans="1:42">
      <c r="A23" s="1">
        <v>21</v>
      </c>
      <c r="B23" s="1" t="s">
        <v>73</v>
      </c>
      <c r="C23" s="1" t="s">
        <v>74</v>
      </c>
      <c r="D23" s="1" t="s">
        <v>68</v>
      </c>
      <c r="E23" s="11">
        <v>0.55</v>
      </c>
      <c r="F23" s="11">
        <v>0.1375</v>
      </c>
      <c r="G23" s="1"/>
      <c r="H23" s="9"/>
      <c r="I23" s="13" t="s">
        <v>53</v>
      </c>
      <c r="J23" s="1">
        <f>2208.4*E23</f>
        <v>1214.62</v>
      </c>
      <c r="K23" s="14">
        <f>J23*1.1296</f>
        <v>1372.034752</v>
      </c>
      <c r="L23" s="15" t="s">
        <v>53</v>
      </c>
      <c r="M23" s="14">
        <f>2189.7*E23</f>
        <v>1204.335</v>
      </c>
      <c r="N23" s="14">
        <f>M23*1.1296</f>
        <v>1360.416816</v>
      </c>
      <c r="O23" s="14" t="s">
        <v>53</v>
      </c>
      <c r="P23" s="14">
        <f>3244.8*E23</f>
        <v>1784.64</v>
      </c>
      <c r="Q23" s="14">
        <f>P23*1.1296</f>
        <v>2015.929344</v>
      </c>
      <c r="R23" s="13" t="s">
        <v>53</v>
      </c>
      <c r="S23" s="1">
        <f t="shared" si="4"/>
        <v>1496.20166666667</v>
      </c>
      <c r="T23" s="20">
        <f>S23*1.1296</f>
        <v>1690.10940266667</v>
      </c>
      <c r="U23" s="13" t="s">
        <v>53</v>
      </c>
      <c r="V23" s="1">
        <v>31067.6</v>
      </c>
      <c r="W23" s="1">
        <v>8724.7</v>
      </c>
      <c r="X23" s="1">
        <f t="shared" si="0"/>
        <v>22342.9</v>
      </c>
      <c r="Y23" s="22">
        <f t="shared" si="5"/>
        <v>0.0798750386028672</v>
      </c>
      <c r="Z23" s="22">
        <v>0.024</v>
      </c>
      <c r="AA23" s="22">
        <f>25%*E23</f>
        <v>0.1375</v>
      </c>
      <c r="AB23" s="1">
        <v>101</v>
      </c>
      <c r="AC23" s="16">
        <v>425600</v>
      </c>
      <c r="AD23" s="13" t="s">
        <v>53</v>
      </c>
      <c r="AE23" s="1">
        <v>8075.9</v>
      </c>
      <c r="AF23" s="20">
        <f>AE23*1.1296</f>
        <v>9122.53664</v>
      </c>
      <c r="AG23" s="20" t="s">
        <v>53</v>
      </c>
      <c r="AH23" s="20">
        <f>1.3*17645*E23</f>
        <v>12616.175</v>
      </c>
      <c r="AI23" s="20">
        <f>AH23*1.1296</f>
        <v>14251.23128</v>
      </c>
      <c r="AJ23" s="1">
        <f t="shared" si="7"/>
        <v>45.8557860625039</v>
      </c>
      <c r="AK23" s="1">
        <f t="shared" si="8"/>
        <v>812390.371984202</v>
      </c>
      <c r="AL23" s="1" t="s">
        <v>53</v>
      </c>
      <c r="AM23" s="1">
        <f>7032.1*E23</f>
        <v>3867.655</v>
      </c>
      <c r="AN23" s="1" t="s">
        <v>36</v>
      </c>
      <c r="AO23" s="1">
        <f t="shared" si="12"/>
        <v>3725.27990969455</v>
      </c>
      <c r="AP23" s="1">
        <v>16656</v>
      </c>
    </row>
    <row r="24" s="1" customFormat="1" spans="1:43">
      <c r="A24" s="1">
        <v>22</v>
      </c>
      <c r="B24" s="1" t="s">
        <v>75</v>
      </c>
      <c r="C24" s="1" t="s">
        <v>76</v>
      </c>
      <c r="D24" s="1" t="s">
        <v>68</v>
      </c>
      <c r="E24" s="11">
        <v>0.14</v>
      </c>
      <c r="F24" s="11">
        <v>0.035</v>
      </c>
      <c r="G24" s="1"/>
      <c r="H24" s="9"/>
      <c r="I24" s="13" t="s">
        <v>53</v>
      </c>
      <c r="J24" s="1">
        <f>2208.4*E24</f>
        <v>309.176</v>
      </c>
      <c r="K24" s="14">
        <f>J24*1.1296</f>
        <v>349.2452096</v>
      </c>
      <c r="L24" s="15" t="s">
        <v>53</v>
      </c>
      <c r="M24" s="14">
        <f>2189.7*E24</f>
        <v>306.558</v>
      </c>
      <c r="N24" s="14">
        <f>M24*1.1296</f>
        <v>346.2879168</v>
      </c>
      <c r="O24" s="14" t="s">
        <v>53</v>
      </c>
      <c r="P24" s="14">
        <f>3244.8*E24</f>
        <v>454.272</v>
      </c>
      <c r="Q24" s="14">
        <f>P24*1.1296</f>
        <v>513.1456512</v>
      </c>
      <c r="R24" s="13" t="s">
        <v>53</v>
      </c>
      <c r="S24" s="1">
        <f t="shared" si="4"/>
        <v>380.851333333333</v>
      </c>
      <c r="T24" s="20">
        <f>S24*1.1296</f>
        <v>430.209666133333</v>
      </c>
      <c r="U24" s="13" t="s">
        <v>53</v>
      </c>
      <c r="V24" s="1">
        <v>31067.6</v>
      </c>
      <c r="W24" s="1">
        <v>8724.7</v>
      </c>
      <c r="X24" s="1">
        <f t="shared" si="0"/>
        <v>22342.9</v>
      </c>
      <c r="Y24" s="22">
        <f t="shared" si="5"/>
        <v>0.0203318280080025</v>
      </c>
      <c r="Z24" s="22">
        <v>0.024</v>
      </c>
      <c r="AA24" s="22">
        <f>25%*E24</f>
        <v>0.035</v>
      </c>
      <c r="AB24" s="1">
        <v>60</v>
      </c>
      <c r="AC24" s="16">
        <v>425600</v>
      </c>
      <c r="AD24" s="13" t="s">
        <v>53</v>
      </c>
      <c r="AE24" s="1">
        <v>1840.33</v>
      </c>
      <c r="AF24" s="20">
        <f>AE24*1.1296</f>
        <v>2078.836768</v>
      </c>
      <c r="AG24" s="20" t="s">
        <v>53</v>
      </c>
      <c r="AH24" s="20">
        <f>1.3*17645*E24</f>
        <v>3211.39</v>
      </c>
      <c r="AI24" s="20">
        <f>AH24*1.1296</f>
        <v>3627.586144</v>
      </c>
      <c r="AJ24" s="1">
        <f t="shared" si="7"/>
        <v>43.3502334831828</v>
      </c>
      <c r="AK24" s="1">
        <f t="shared" si="8"/>
        <v>52637.5249285632</v>
      </c>
      <c r="AL24" s="1" t="s">
        <v>53</v>
      </c>
      <c r="AM24" s="1">
        <f>7032.1*E24</f>
        <v>984.494</v>
      </c>
      <c r="AN24" s="1" t="s">
        <v>36</v>
      </c>
      <c r="AO24" s="1">
        <f t="shared" si="12"/>
        <v>228.184899563007</v>
      </c>
      <c r="AQ24" s="1">
        <v>5158</v>
      </c>
    </row>
    <row r="25" s="1" customFormat="1" spans="1:43">
      <c r="A25" s="1">
        <v>23</v>
      </c>
      <c r="B25" s="1" t="s">
        <v>77</v>
      </c>
      <c r="C25" s="1" t="s">
        <v>77</v>
      </c>
      <c r="D25" s="1" t="s">
        <v>78</v>
      </c>
      <c r="E25" s="10">
        <v>0.6925</v>
      </c>
      <c r="F25" s="10">
        <v>0.012</v>
      </c>
      <c r="G25" s="1"/>
      <c r="H25" s="9"/>
      <c r="I25" s="13" t="s">
        <v>53</v>
      </c>
      <c r="J25" s="1">
        <f t="shared" ref="J25:J30" si="26">3647*E25</f>
        <v>2525.5475</v>
      </c>
      <c r="K25" s="14">
        <f t="shared" ref="K25:K30" si="27">J25*1.0911</f>
        <v>2755.62487725</v>
      </c>
      <c r="L25" s="15" t="s">
        <v>53</v>
      </c>
      <c r="M25" s="14">
        <f t="shared" ref="M25:M30" si="28">3250*E25</f>
        <v>2250.625</v>
      </c>
      <c r="N25" s="14">
        <f>M25*1.0911</f>
        <v>2455.6569375</v>
      </c>
      <c r="O25" s="14" t="s">
        <v>53</v>
      </c>
      <c r="P25" s="14">
        <f t="shared" ref="P25:P30" si="29">1104*E25</f>
        <v>764.52</v>
      </c>
      <c r="Q25" s="14">
        <f t="shared" ref="Q25:Q30" si="30">P25*1.0911</f>
        <v>834.167772</v>
      </c>
      <c r="R25" s="13" t="s">
        <v>53</v>
      </c>
      <c r="S25" s="1">
        <f t="shared" si="4"/>
        <v>1553.39291666667</v>
      </c>
      <c r="T25" s="20">
        <f t="shared" ref="T25:T30" si="31">S25*1.0911</f>
        <v>1694.907011375</v>
      </c>
      <c r="U25" s="13" t="s">
        <v>53</v>
      </c>
      <c r="V25" s="1">
        <v>28945</v>
      </c>
      <c r="W25" s="1">
        <v>13187</v>
      </c>
      <c r="X25" s="1">
        <f t="shared" si="0"/>
        <v>15758</v>
      </c>
      <c r="Y25" s="22">
        <v>0.21</v>
      </c>
      <c r="Z25" s="22">
        <v>0.302</v>
      </c>
      <c r="AA25" s="22">
        <v>0.012</v>
      </c>
      <c r="AB25" s="1">
        <v>47</v>
      </c>
      <c r="AC25" s="16">
        <v>425600</v>
      </c>
      <c r="AD25" s="1" t="s">
        <v>53</v>
      </c>
      <c r="AE25" s="1">
        <v>16875.184</v>
      </c>
      <c r="AF25" s="20">
        <f t="shared" ref="AF25:AF30" si="32">AE25*1.0911</f>
        <v>18412.5132624</v>
      </c>
      <c r="AG25" s="20" t="s">
        <v>53</v>
      </c>
      <c r="AH25" s="20">
        <f>19714*1.35</f>
        <v>26613.9</v>
      </c>
      <c r="AI25" s="20">
        <f t="shared" ref="AI25:AI30" si="33">AH25*1.0911</f>
        <v>29038.42629</v>
      </c>
      <c r="AJ25" s="1">
        <f t="shared" si="7"/>
        <v>49.4472751</v>
      </c>
      <c r="AK25" s="1">
        <f t="shared" si="8"/>
        <v>3372920.80559905</v>
      </c>
      <c r="AL25" s="13" t="s">
        <v>53</v>
      </c>
      <c r="AM25" s="1">
        <f t="shared" ref="AM25:AM30" si="34">129*E25</f>
        <v>89.3325</v>
      </c>
      <c r="AN25" s="1" t="s">
        <v>36</v>
      </c>
      <c r="AO25" s="1">
        <f t="shared" si="12"/>
        <v>16678.174296497</v>
      </c>
      <c r="AP25" s="1">
        <v>13503</v>
      </c>
      <c r="AQ25" s="16">
        <v>21382</v>
      </c>
    </row>
    <row r="26" s="1" customFormat="1" spans="1:42">
      <c r="A26" s="1">
        <v>24</v>
      </c>
      <c r="B26" s="6" t="s">
        <v>79</v>
      </c>
      <c r="C26" s="6" t="s">
        <v>79</v>
      </c>
      <c r="D26" s="1" t="s">
        <v>78</v>
      </c>
      <c r="E26" s="10">
        <v>0.0869</v>
      </c>
      <c r="F26" s="10">
        <v>0.001505108</v>
      </c>
      <c r="G26" s="1"/>
      <c r="H26" s="9"/>
      <c r="I26" s="13" t="s">
        <v>53</v>
      </c>
      <c r="J26" s="1">
        <f t="shared" si="26"/>
        <v>316.9243</v>
      </c>
      <c r="K26" s="14">
        <f t="shared" si="27"/>
        <v>345.79610373</v>
      </c>
      <c r="L26" s="15" t="s">
        <v>53</v>
      </c>
      <c r="M26" s="14">
        <f t="shared" si="28"/>
        <v>282.425</v>
      </c>
      <c r="N26" s="14">
        <f t="shared" ref="N26:N32" si="35">M26*1.0911</f>
        <v>308.1539175</v>
      </c>
      <c r="O26" s="14" t="s">
        <v>53</v>
      </c>
      <c r="P26" s="14">
        <f t="shared" si="29"/>
        <v>95.9376</v>
      </c>
      <c r="Q26" s="14">
        <f t="shared" si="30"/>
        <v>104.67751536</v>
      </c>
      <c r="R26" s="13" t="s">
        <v>53</v>
      </c>
      <c r="S26" s="1">
        <f t="shared" si="4"/>
        <v>194.931183333333</v>
      </c>
      <c r="T26" s="20">
        <f t="shared" si="31"/>
        <v>212.689414135</v>
      </c>
      <c r="U26" s="13" t="s">
        <v>53</v>
      </c>
      <c r="V26" s="1">
        <v>28945</v>
      </c>
      <c r="W26" s="1">
        <v>13187</v>
      </c>
      <c r="X26" s="1">
        <f t="shared" si="0"/>
        <v>15758</v>
      </c>
      <c r="Y26" s="22">
        <v>0.21</v>
      </c>
      <c r="Z26" s="22">
        <v>0.302</v>
      </c>
      <c r="AA26" s="22">
        <f>1.732*E26%</f>
        <v>0.001505108</v>
      </c>
      <c r="AB26" s="1">
        <v>24</v>
      </c>
      <c r="AC26" s="16">
        <v>425600</v>
      </c>
      <c r="AD26" s="1" t="s">
        <v>53</v>
      </c>
      <c r="AE26" s="1">
        <v>1864.368</v>
      </c>
      <c r="AF26" s="20">
        <f t="shared" si="32"/>
        <v>2034.2119248</v>
      </c>
      <c r="AG26" s="20" t="s">
        <v>53</v>
      </c>
      <c r="AH26" s="20">
        <f>2178*1.35</f>
        <v>2940.3</v>
      </c>
      <c r="AI26" s="20">
        <f t="shared" si="33"/>
        <v>3208.16133</v>
      </c>
      <c r="AJ26" s="1">
        <f t="shared" si="7"/>
        <v>43.323758476277</v>
      </c>
      <c r="AK26" s="1">
        <f t="shared" si="8"/>
        <v>41169.1964772295</v>
      </c>
      <c r="AL26" s="13" t="s">
        <v>53</v>
      </c>
      <c r="AM26" s="1">
        <f t="shared" si="34"/>
        <v>11.2101</v>
      </c>
      <c r="AN26" s="1" t="s">
        <v>36</v>
      </c>
      <c r="AO26" s="1">
        <f t="shared" si="12"/>
        <v>178.360432484188</v>
      </c>
      <c r="AP26" s="1" t="e">
        <f t="shared" ref="AP26:AP31" si="36">AK26*AL26</f>
        <v>#VALUE!</v>
      </c>
    </row>
    <row r="27" s="1" customFormat="1" spans="1:42">
      <c r="A27" s="1">
        <v>25</v>
      </c>
      <c r="B27" s="6" t="s">
        <v>80</v>
      </c>
      <c r="C27" s="6" t="s">
        <v>80</v>
      </c>
      <c r="D27" s="1" t="s">
        <v>78</v>
      </c>
      <c r="E27" s="10">
        <v>0.0587</v>
      </c>
      <c r="F27" s="10">
        <v>0.001016684</v>
      </c>
      <c r="G27" s="1"/>
      <c r="H27" s="9"/>
      <c r="I27" s="13" t="s">
        <v>53</v>
      </c>
      <c r="J27" s="1">
        <f t="shared" si="26"/>
        <v>214.0789</v>
      </c>
      <c r="K27" s="14">
        <f t="shared" si="27"/>
        <v>233.58148779</v>
      </c>
      <c r="L27" s="15" t="s">
        <v>53</v>
      </c>
      <c r="M27" s="14">
        <f t="shared" si="28"/>
        <v>190.775</v>
      </c>
      <c r="N27" s="14">
        <f t="shared" si="35"/>
        <v>208.1546025</v>
      </c>
      <c r="O27" s="14" t="s">
        <v>53</v>
      </c>
      <c r="P27" s="14">
        <f t="shared" si="29"/>
        <v>64.8048</v>
      </c>
      <c r="Q27" s="14">
        <f t="shared" si="30"/>
        <v>70.70851728</v>
      </c>
      <c r="R27" s="13" t="s">
        <v>53</v>
      </c>
      <c r="S27" s="1">
        <f t="shared" si="4"/>
        <v>131.673883333333</v>
      </c>
      <c r="T27" s="20">
        <f t="shared" si="31"/>
        <v>143.669374105</v>
      </c>
      <c r="U27" s="13" t="s">
        <v>53</v>
      </c>
      <c r="V27" s="1">
        <v>28945</v>
      </c>
      <c r="W27" s="1">
        <v>13187</v>
      </c>
      <c r="X27" s="1">
        <f t="shared" si="0"/>
        <v>15758</v>
      </c>
      <c r="Y27" s="22">
        <v>0.21</v>
      </c>
      <c r="Z27" s="22">
        <v>0.302</v>
      </c>
      <c r="AA27" s="22">
        <f>1.732*E27%</f>
        <v>0.001016684</v>
      </c>
      <c r="AB27" s="1">
        <v>37</v>
      </c>
      <c r="AC27" s="16">
        <v>425600</v>
      </c>
      <c r="AD27" s="1" t="s">
        <v>53</v>
      </c>
      <c r="AE27" s="1">
        <v>1414.968</v>
      </c>
      <c r="AF27" s="20">
        <f t="shared" si="32"/>
        <v>1543.8715848</v>
      </c>
      <c r="AG27" s="20" t="s">
        <v>53</v>
      </c>
      <c r="AH27" s="20">
        <f>1653*1.35</f>
        <v>2231.55</v>
      </c>
      <c r="AI27" s="20">
        <f t="shared" si="33"/>
        <v>2434.844205</v>
      </c>
      <c r="AJ27" s="1">
        <f t="shared" si="7"/>
        <v>43.142483354171</v>
      </c>
      <c r="AK27" s="1">
        <f t="shared" si="8"/>
        <v>23713.8652104883</v>
      </c>
      <c r="AL27" s="13" t="s">
        <v>53</v>
      </c>
      <c r="AM27" s="1">
        <f t="shared" si="34"/>
        <v>7.5723</v>
      </c>
      <c r="AN27" s="1" t="s">
        <v>36</v>
      </c>
      <c r="AO27" s="1">
        <f t="shared" si="12"/>
        <v>102.307503510655</v>
      </c>
      <c r="AP27" s="1" t="e">
        <f t="shared" si="36"/>
        <v>#VALUE!</v>
      </c>
    </row>
    <row r="28" s="1" customFormat="1" spans="1:42">
      <c r="A28" s="1">
        <v>26</v>
      </c>
      <c r="B28" s="6" t="s">
        <v>81</v>
      </c>
      <c r="C28" s="6" t="s">
        <v>81</v>
      </c>
      <c r="D28" s="1" t="s">
        <v>78</v>
      </c>
      <c r="E28" s="10">
        <v>0.0256</v>
      </c>
      <c r="F28" s="10">
        <v>0.000443392</v>
      </c>
      <c r="G28" s="1"/>
      <c r="H28" s="9"/>
      <c r="I28" s="13" t="s">
        <v>53</v>
      </c>
      <c r="J28" s="1">
        <f t="shared" si="26"/>
        <v>93.3632</v>
      </c>
      <c r="K28" s="14">
        <f t="shared" si="27"/>
        <v>101.86858752</v>
      </c>
      <c r="L28" s="15" t="s">
        <v>53</v>
      </c>
      <c r="M28" s="14">
        <f t="shared" si="28"/>
        <v>83.2</v>
      </c>
      <c r="N28" s="14">
        <f t="shared" si="35"/>
        <v>90.77952</v>
      </c>
      <c r="O28" s="14" t="s">
        <v>53</v>
      </c>
      <c r="P28" s="14">
        <f t="shared" si="29"/>
        <v>28.2624</v>
      </c>
      <c r="Q28" s="14">
        <f t="shared" si="30"/>
        <v>30.83710464</v>
      </c>
      <c r="R28" s="13" t="s">
        <v>53</v>
      </c>
      <c r="S28" s="1">
        <f t="shared" si="4"/>
        <v>57.4250666666667</v>
      </c>
      <c r="T28" s="20">
        <f t="shared" si="31"/>
        <v>62.65649024</v>
      </c>
      <c r="U28" s="13" t="s">
        <v>53</v>
      </c>
      <c r="V28" s="1">
        <v>28945</v>
      </c>
      <c r="W28" s="1">
        <v>13187</v>
      </c>
      <c r="X28" s="1">
        <f t="shared" si="0"/>
        <v>15758</v>
      </c>
      <c r="Y28" s="22">
        <v>0.21</v>
      </c>
      <c r="Z28" s="22">
        <v>0.302</v>
      </c>
      <c r="AA28" s="22">
        <f>1.732*E28%</f>
        <v>0.000443392</v>
      </c>
      <c r="AB28" s="1">
        <v>21</v>
      </c>
      <c r="AC28" s="16">
        <v>425600</v>
      </c>
      <c r="AD28" s="1" t="s">
        <v>53</v>
      </c>
      <c r="AE28" s="1">
        <v>513.6</v>
      </c>
      <c r="AF28" s="20">
        <f t="shared" si="32"/>
        <v>560.38896</v>
      </c>
      <c r="AG28" s="20" t="s">
        <v>53</v>
      </c>
      <c r="AH28" s="20">
        <f>600*1.35</f>
        <v>810</v>
      </c>
      <c r="AI28" s="20">
        <f t="shared" si="33"/>
        <v>883.791</v>
      </c>
      <c r="AJ28" s="1">
        <f t="shared" si="7"/>
        <v>42.772586210848</v>
      </c>
      <c r="AK28" s="1">
        <f t="shared" si="8"/>
        <v>3124.346126724</v>
      </c>
      <c r="AL28" s="13" t="s">
        <v>53</v>
      </c>
      <c r="AM28" s="1">
        <f t="shared" si="34"/>
        <v>3.3024</v>
      </c>
      <c r="AN28" s="1" t="s">
        <v>36</v>
      </c>
      <c r="AO28" s="1">
        <f t="shared" si="12"/>
        <v>13.3636364057831</v>
      </c>
      <c r="AP28" s="1" t="e">
        <f t="shared" si="36"/>
        <v>#VALUE!</v>
      </c>
    </row>
    <row r="29" s="1" customFormat="1" spans="1:42">
      <c r="A29" s="1">
        <v>27</v>
      </c>
      <c r="B29" s="6" t="s">
        <v>82</v>
      </c>
      <c r="C29" s="6" t="s">
        <v>82</v>
      </c>
      <c r="D29" s="1" t="s">
        <v>78</v>
      </c>
      <c r="E29" s="11">
        <v>0.0698</v>
      </c>
      <c r="F29" s="11">
        <v>0.001208936</v>
      </c>
      <c r="G29" s="1"/>
      <c r="H29" s="9"/>
      <c r="I29" s="13" t="s">
        <v>53</v>
      </c>
      <c r="J29" s="1">
        <f t="shared" si="26"/>
        <v>254.5606</v>
      </c>
      <c r="K29" s="14">
        <f t="shared" si="27"/>
        <v>277.75107066</v>
      </c>
      <c r="L29" s="15" t="s">
        <v>53</v>
      </c>
      <c r="M29" s="14">
        <f t="shared" si="28"/>
        <v>226.85</v>
      </c>
      <c r="N29" s="14">
        <f t="shared" si="35"/>
        <v>247.516035</v>
      </c>
      <c r="O29" s="14" t="s">
        <v>53</v>
      </c>
      <c r="P29" s="14">
        <f t="shared" si="29"/>
        <v>77.0592</v>
      </c>
      <c r="Q29" s="14">
        <f t="shared" si="30"/>
        <v>84.07929312</v>
      </c>
      <c r="R29" s="13" t="s">
        <v>53</v>
      </c>
      <c r="S29" s="1">
        <f t="shared" si="4"/>
        <v>156.573033333333</v>
      </c>
      <c r="T29" s="20">
        <f t="shared" si="31"/>
        <v>170.83683667</v>
      </c>
      <c r="U29" s="13" t="s">
        <v>53</v>
      </c>
      <c r="V29" s="1">
        <v>28945</v>
      </c>
      <c r="W29" s="1">
        <v>13187</v>
      </c>
      <c r="X29" s="1">
        <f t="shared" si="0"/>
        <v>15758</v>
      </c>
      <c r="Y29" s="22">
        <v>0.21</v>
      </c>
      <c r="Z29" s="22">
        <v>0.302</v>
      </c>
      <c r="AA29" s="22">
        <f>1.732*E29%</f>
        <v>0.001208936</v>
      </c>
      <c r="AB29" s="1">
        <v>36</v>
      </c>
      <c r="AC29" s="16">
        <v>425600</v>
      </c>
      <c r="AD29" s="1" t="s">
        <v>53</v>
      </c>
      <c r="AE29" s="1">
        <v>1598.152</v>
      </c>
      <c r="AF29" s="20">
        <f t="shared" si="32"/>
        <v>1743.7436472</v>
      </c>
      <c r="AG29" s="20" t="s">
        <v>53</v>
      </c>
      <c r="AH29" s="20">
        <f>1867*1.35</f>
        <v>2520.45</v>
      </c>
      <c r="AI29" s="20">
        <f t="shared" si="33"/>
        <v>2750.062995</v>
      </c>
      <c r="AJ29" s="1">
        <f t="shared" si="7"/>
        <v>43.217019402234</v>
      </c>
      <c r="AK29" s="1">
        <f t="shared" si="8"/>
        <v>30251.3859058735</v>
      </c>
      <c r="AL29" s="13" t="s">
        <v>53</v>
      </c>
      <c r="AM29" s="1">
        <f t="shared" si="34"/>
        <v>9.0042</v>
      </c>
      <c r="AN29" s="1" t="s">
        <v>36</v>
      </c>
      <c r="AO29" s="1">
        <f t="shared" si="12"/>
        <v>130.73747316386</v>
      </c>
      <c r="AP29" s="1" t="e">
        <f t="shared" si="36"/>
        <v>#VALUE!</v>
      </c>
    </row>
    <row r="30" s="1" customFormat="1" spans="1:42">
      <c r="A30" s="1">
        <v>28</v>
      </c>
      <c r="B30" s="6" t="s">
        <v>83</v>
      </c>
      <c r="C30" s="6" t="s">
        <v>83</v>
      </c>
      <c r="D30" s="1" t="s">
        <v>78</v>
      </c>
      <c r="E30" s="10">
        <v>0.0629</v>
      </c>
      <c r="F30" s="10">
        <v>0.001089428</v>
      </c>
      <c r="G30" s="1"/>
      <c r="H30" s="9"/>
      <c r="I30" s="13" t="s">
        <v>53</v>
      </c>
      <c r="J30" s="1">
        <f t="shared" si="26"/>
        <v>229.3963</v>
      </c>
      <c r="K30" s="14">
        <f t="shared" si="27"/>
        <v>250.29430293</v>
      </c>
      <c r="L30" s="15" t="s">
        <v>53</v>
      </c>
      <c r="M30" s="14">
        <f t="shared" si="28"/>
        <v>204.425</v>
      </c>
      <c r="N30" s="14">
        <f t="shared" si="35"/>
        <v>223.0481175</v>
      </c>
      <c r="O30" s="14" t="s">
        <v>53</v>
      </c>
      <c r="P30" s="14">
        <f t="shared" si="29"/>
        <v>69.4416</v>
      </c>
      <c r="Q30" s="14">
        <f t="shared" si="30"/>
        <v>75.76772976</v>
      </c>
      <c r="R30" s="13" t="s">
        <v>53</v>
      </c>
      <c r="S30" s="1">
        <f t="shared" si="4"/>
        <v>141.095183333333</v>
      </c>
      <c r="T30" s="20">
        <f t="shared" si="31"/>
        <v>153.948954535</v>
      </c>
      <c r="U30" s="13" t="s">
        <v>53</v>
      </c>
      <c r="V30" s="1">
        <v>28945</v>
      </c>
      <c r="W30" s="1">
        <v>13187</v>
      </c>
      <c r="X30" s="1">
        <f t="shared" si="0"/>
        <v>15758</v>
      </c>
      <c r="Y30" s="22">
        <v>0.21</v>
      </c>
      <c r="Z30" s="22">
        <v>0.302</v>
      </c>
      <c r="AA30" s="22">
        <f>1.732*E30%</f>
        <v>0.001089428</v>
      </c>
      <c r="AB30" s="1">
        <v>28</v>
      </c>
      <c r="AC30" s="16">
        <v>425600</v>
      </c>
      <c r="AD30" s="1" t="s">
        <v>53</v>
      </c>
      <c r="AE30" s="1">
        <v>1561.344</v>
      </c>
      <c r="AF30" s="20">
        <f t="shared" si="32"/>
        <v>1703.5824384</v>
      </c>
      <c r="AG30" s="20" t="s">
        <v>53</v>
      </c>
      <c r="AH30" s="20">
        <f>1824*1.35</f>
        <v>2462.4</v>
      </c>
      <c r="AI30" s="20">
        <f t="shared" si="33"/>
        <v>2686.72464</v>
      </c>
      <c r="AJ30" s="1">
        <f t="shared" si="7"/>
        <v>43.200812372357</v>
      </c>
      <c r="AK30" s="1">
        <f t="shared" si="8"/>
        <v>28873.9571647325</v>
      </c>
      <c r="AL30" s="13" t="s">
        <v>53</v>
      </c>
      <c r="AM30" s="1">
        <f t="shared" si="34"/>
        <v>8.1141</v>
      </c>
      <c r="AN30" s="1" t="s">
        <v>36</v>
      </c>
      <c r="AO30" s="1">
        <f t="shared" si="12"/>
        <v>124.737840592108</v>
      </c>
      <c r="AP30" s="1" t="e">
        <f t="shared" si="36"/>
        <v>#VALUE!</v>
      </c>
    </row>
    <row r="31" s="1" customFormat="1" spans="1:42">
      <c r="A31" s="1">
        <v>29</v>
      </c>
      <c r="B31" s="1" t="s">
        <v>84</v>
      </c>
      <c r="C31" s="1" t="s">
        <v>85</v>
      </c>
      <c r="D31" s="1" t="s">
        <v>86</v>
      </c>
      <c r="E31" s="11">
        <v>0.72</v>
      </c>
      <c r="F31" s="11">
        <v>0.041256</v>
      </c>
      <c r="G31" s="1"/>
      <c r="H31" s="9"/>
      <c r="I31" s="13" t="s">
        <v>36</v>
      </c>
      <c r="J31" s="1">
        <f>543*E31</f>
        <v>390.96</v>
      </c>
      <c r="K31" s="14">
        <v>390.96</v>
      </c>
      <c r="L31" s="15" t="s">
        <v>36</v>
      </c>
      <c r="M31" s="14">
        <f>-233*E31</f>
        <v>-167.76</v>
      </c>
      <c r="N31" s="14">
        <f t="shared" si="35"/>
        <v>-183.042936</v>
      </c>
      <c r="O31" s="14" t="s">
        <v>36</v>
      </c>
      <c r="P31" s="14">
        <f>-62*E31</f>
        <v>-44.64</v>
      </c>
      <c r="Q31" s="14">
        <v>-44.64</v>
      </c>
      <c r="R31" s="13" t="s">
        <v>36</v>
      </c>
      <c r="S31" s="1">
        <f t="shared" si="4"/>
        <v>-13.08</v>
      </c>
      <c r="T31" s="20">
        <v>-13.08</v>
      </c>
      <c r="U31" s="13" t="s">
        <v>36</v>
      </c>
      <c r="V31" s="1">
        <v>1546</v>
      </c>
      <c r="W31" s="1">
        <v>430</v>
      </c>
      <c r="X31" s="1">
        <f t="shared" si="0"/>
        <v>1116</v>
      </c>
      <c r="Y31" s="22">
        <f t="shared" ref="Y31:Y74" si="37">P31/X31</f>
        <v>-0.04</v>
      </c>
      <c r="Z31" s="22">
        <v>0.35</v>
      </c>
      <c r="AA31" s="22">
        <f>5.73%*E31</f>
        <v>0.041256</v>
      </c>
      <c r="AB31" s="1">
        <v>41</v>
      </c>
      <c r="AC31" s="16">
        <v>425600</v>
      </c>
      <c r="AD31" s="1" t="s">
        <v>36</v>
      </c>
      <c r="AE31" s="1">
        <v>1055</v>
      </c>
      <c r="AF31" s="20">
        <v>1055</v>
      </c>
      <c r="AG31" s="20" t="s">
        <v>36</v>
      </c>
      <c r="AH31" s="20">
        <f>0.8*4060*E31</f>
        <v>2338.56</v>
      </c>
      <c r="AI31" s="20">
        <v>2338.56</v>
      </c>
      <c r="AJ31" s="1">
        <f t="shared" si="7"/>
        <v>43.063779814</v>
      </c>
      <c r="AK31" s="1">
        <f t="shared" si="8"/>
        <v>21875.4514944</v>
      </c>
      <c r="AL31" s="1" t="s">
        <v>36</v>
      </c>
      <c r="AN31" s="1" t="s">
        <v>36</v>
      </c>
      <c r="AO31" s="1">
        <f t="shared" si="12"/>
        <v>94.2039626486679</v>
      </c>
      <c r="AP31" s="1" t="e">
        <f t="shared" si="36"/>
        <v>#VALUE!</v>
      </c>
    </row>
    <row r="32" s="1" customFormat="1" ht="20" customHeight="1" spans="1:42">
      <c r="A32" s="1">
        <v>30</v>
      </c>
      <c r="B32" s="1" t="s">
        <v>87</v>
      </c>
      <c r="C32" s="1" t="s">
        <v>88</v>
      </c>
      <c r="D32" s="1" t="s">
        <v>86</v>
      </c>
      <c r="E32" s="10">
        <v>0.1768</v>
      </c>
      <c r="F32" s="10">
        <v>0.01013064</v>
      </c>
      <c r="G32" s="1"/>
      <c r="H32" s="9"/>
      <c r="I32" s="13" t="s">
        <v>36</v>
      </c>
      <c r="J32" s="1">
        <f>543*E32</f>
        <v>96.0024</v>
      </c>
      <c r="K32" s="14">
        <v>96.0024</v>
      </c>
      <c r="L32" s="15" t="s">
        <v>36</v>
      </c>
      <c r="M32" s="14">
        <f>-233*E32</f>
        <v>-41.1944</v>
      </c>
      <c r="N32" s="14">
        <f t="shared" si="35"/>
        <v>-44.94720984</v>
      </c>
      <c r="O32" s="14" t="s">
        <v>36</v>
      </c>
      <c r="P32" s="14">
        <f>-62*E32</f>
        <v>-10.9616</v>
      </c>
      <c r="Q32" s="14">
        <v>-10.9616</v>
      </c>
      <c r="R32" s="13" t="s">
        <v>36</v>
      </c>
      <c r="S32" s="1">
        <f t="shared" si="4"/>
        <v>-3.21186666666667</v>
      </c>
      <c r="T32" s="20">
        <v>-3.21186666666667</v>
      </c>
      <c r="U32" s="13" t="s">
        <v>36</v>
      </c>
      <c r="V32" s="1">
        <v>1546</v>
      </c>
      <c r="W32" s="1">
        <v>430</v>
      </c>
      <c r="X32" s="1">
        <f t="shared" si="0"/>
        <v>1116</v>
      </c>
      <c r="Y32" s="22">
        <f t="shared" si="37"/>
        <v>-0.00982222222222222</v>
      </c>
      <c r="Z32" s="22">
        <v>0.35</v>
      </c>
      <c r="AA32" s="22">
        <f>5.73%*E32</f>
        <v>0.01013064</v>
      </c>
      <c r="AB32" s="1">
        <v>44</v>
      </c>
      <c r="AC32" s="16">
        <v>425600</v>
      </c>
      <c r="AD32" s="1" t="s">
        <v>36</v>
      </c>
      <c r="AE32" s="1">
        <v>517</v>
      </c>
      <c r="AF32" s="20">
        <v>517</v>
      </c>
      <c r="AG32" s="20" t="s">
        <v>36</v>
      </c>
      <c r="AH32" s="20">
        <f>0.8*4060*E32</f>
        <v>574.2464</v>
      </c>
      <c r="AI32" s="20">
        <v>574.2464</v>
      </c>
      <c r="AJ32" s="1">
        <f t="shared" si="7"/>
        <v>42.7532936904378</v>
      </c>
      <c r="AK32" s="1">
        <f t="shared" si="8"/>
        <v>1319.03571165184</v>
      </c>
      <c r="AL32" s="1" t="s">
        <v>36</v>
      </c>
      <c r="AM32" s="1">
        <v>978</v>
      </c>
      <c r="AN32" s="1" t="s">
        <v>36</v>
      </c>
      <c r="AO32" s="1">
        <f t="shared" si="12"/>
        <v>5.63931211684267</v>
      </c>
      <c r="AP32" s="1">
        <v>47054</v>
      </c>
    </row>
    <row r="33" hidden="1" spans="1:42">
      <c r="A33" s="1"/>
      <c r="B33" t="s">
        <v>89</v>
      </c>
      <c r="C33" t="s">
        <v>90</v>
      </c>
      <c r="D33" t="s">
        <v>91</v>
      </c>
      <c r="G33" s="1"/>
      <c r="H33" s="9"/>
      <c r="I33" s="13" t="s">
        <v>36</v>
      </c>
      <c r="N33" s="9"/>
      <c r="O33" s="13" t="s">
        <v>92</v>
      </c>
      <c r="S33">
        <f t="shared" si="4"/>
        <v>0</v>
      </c>
      <c r="X33">
        <f>V39-W39</f>
        <v>0</v>
      </c>
      <c r="Y33" t="e">
        <f t="shared" si="37"/>
        <v>#DIV/0!</v>
      </c>
      <c r="AB33">
        <v>2022</v>
      </c>
      <c r="AC33" s="26">
        <v>425600</v>
      </c>
      <c r="AD33" s="26"/>
      <c r="AJ33" t="e">
        <f t="shared" ref="AJ33:AJ74" si="38">Y33*0.1+Z33*0.05+AA33*0.25+AB33*0.15+AC33*0.1+AE33*0.25+AH33*0.1</f>
        <v>#DIV/0!</v>
      </c>
      <c r="AN33" t="s">
        <v>36</v>
      </c>
      <c r="AO33" t="e">
        <f>AJ33*AK33</f>
        <v>#DIV/0!</v>
      </c>
      <c r="AP33">
        <f t="shared" ref="AP33:AP64" si="39">AK33*AL33</f>
        <v>0</v>
      </c>
    </row>
    <row r="34" hidden="1" spans="1:42">
      <c r="A34" s="1"/>
      <c r="B34" s="7" t="s">
        <v>93</v>
      </c>
      <c r="C34" s="7" t="s">
        <v>93</v>
      </c>
      <c r="D34" s="7" t="s">
        <v>93</v>
      </c>
      <c r="E34" s="3"/>
      <c r="F34" s="12">
        <v>0.018</v>
      </c>
      <c r="G34" s="1"/>
      <c r="H34" s="9"/>
      <c r="I34" s="13" t="s">
        <v>36</v>
      </c>
      <c r="N34" s="3"/>
      <c r="O34" s="3" t="s">
        <v>36</v>
      </c>
      <c r="P34" t="s">
        <v>94</v>
      </c>
      <c r="X34">
        <f t="shared" ref="X34:X74" si="40">V34-W34</f>
        <v>0</v>
      </c>
      <c r="Y34" t="e">
        <f t="shared" si="37"/>
        <v>#VALUE!</v>
      </c>
      <c r="AA34">
        <v>0.018</v>
      </c>
      <c r="AB34">
        <v>2022</v>
      </c>
      <c r="AC34" s="26">
        <v>425600</v>
      </c>
      <c r="AD34" s="3" t="s">
        <v>36</v>
      </c>
      <c r="AE34" s="3" t="s">
        <v>95</v>
      </c>
      <c r="AJ34" t="e">
        <f t="shared" si="38"/>
        <v>#VALUE!</v>
      </c>
      <c r="AN34" t="s">
        <v>36</v>
      </c>
      <c r="AO34" s="26">
        <v>22344</v>
      </c>
      <c r="AP34" s="26">
        <v>22344</v>
      </c>
    </row>
    <row r="35" hidden="1" spans="1:42">
      <c r="A35" s="1"/>
      <c r="B35" t="s">
        <v>96</v>
      </c>
      <c r="C35" t="s">
        <v>97</v>
      </c>
      <c r="D35" s="8" t="s">
        <v>98</v>
      </c>
      <c r="G35" s="1"/>
      <c r="H35" s="9"/>
      <c r="I35" s="13" t="s">
        <v>36</v>
      </c>
      <c r="N35" s="9"/>
      <c r="O35" s="13" t="s">
        <v>53</v>
      </c>
      <c r="S35">
        <f t="shared" ref="S35:S98" si="41">(P35*3+M35*2+J35*1)/6</f>
        <v>0</v>
      </c>
      <c r="X35">
        <f t="shared" si="40"/>
        <v>0</v>
      </c>
      <c r="Y35" t="e">
        <f t="shared" si="37"/>
        <v>#DIV/0!</v>
      </c>
      <c r="AB35">
        <v>2022</v>
      </c>
      <c r="AC35" s="26">
        <v>425600</v>
      </c>
      <c r="AJ35" t="e">
        <f t="shared" si="38"/>
        <v>#DIV/0!</v>
      </c>
      <c r="AN35" t="s">
        <v>36</v>
      </c>
      <c r="AO35" t="e">
        <f>AJ35*AK35</f>
        <v>#DIV/0!</v>
      </c>
      <c r="AP35">
        <f t="shared" si="39"/>
        <v>0</v>
      </c>
    </row>
    <row r="36" hidden="1" spans="1:42">
      <c r="A36" s="1"/>
      <c r="B36" t="s">
        <v>99</v>
      </c>
      <c r="C36" t="s">
        <v>100</v>
      </c>
      <c r="D36" s="8" t="s">
        <v>101</v>
      </c>
      <c r="G36" s="1"/>
      <c r="H36" s="9"/>
      <c r="I36" s="13" t="s">
        <v>36</v>
      </c>
      <c r="N36" s="9"/>
      <c r="O36" s="13" t="s">
        <v>53</v>
      </c>
      <c r="S36">
        <f t="shared" si="41"/>
        <v>0</v>
      </c>
      <c r="X36">
        <f t="shared" si="40"/>
        <v>0</v>
      </c>
      <c r="Y36" t="e">
        <f t="shared" si="37"/>
        <v>#DIV/0!</v>
      </c>
      <c r="AB36">
        <v>2022</v>
      </c>
      <c r="AC36" s="26">
        <v>425600</v>
      </c>
      <c r="AJ36" t="e">
        <f t="shared" si="38"/>
        <v>#DIV/0!</v>
      </c>
      <c r="AN36" t="s">
        <v>36</v>
      </c>
      <c r="AO36">
        <v>3933</v>
      </c>
      <c r="AP36">
        <v>3933</v>
      </c>
    </row>
    <row r="37" hidden="1" spans="1:42">
      <c r="A37" s="1"/>
      <c r="B37" t="s">
        <v>102</v>
      </c>
      <c r="C37" t="s">
        <v>103</v>
      </c>
      <c r="D37" s="8" t="s">
        <v>104</v>
      </c>
      <c r="E37" s="1"/>
      <c r="F37" s="1"/>
      <c r="G37" s="1"/>
      <c r="H37" s="9"/>
      <c r="I37" s="13" t="s">
        <v>36</v>
      </c>
      <c r="J37" t="s">
        <v>105</v>
      </c>
      <c r="K37" s="9"/>
      <c r="L37" s="13" t="s">
        <v>106</v>
      </c>
      <c r="M37" t="s">
        <v>107</v>
      </c>
      <c r="N37" s="9"/>
      <c r="O37" s="13" t="s">
        <v>106</v>
      </c>
      <c r="P37" t="s">
        <v>108</v>
      </c>
      <c r="S37" t="e">
        <f t="shared" si="41"/>
        <v>#VALUE!</v>
      </c>
      <c r="X37">
        <f t="shared" si="40"/>
        <v>0</v>
      </c>
      <c r="Y37" t="e">
        <f t="shared" si="37"/>
        <v>#VALUE!</v>
      </c>
      <c r="AB37">
        <v>166</v>
      </c>
      <c r="AC37" s="26">
        <v>425600</v>
      </c>
      <c r="AD37" t="s">
        <v>106</v>
      </c>
      <c r="AE37" s="27">
        <v>1678</v>
      </c>
      <c r="AJ37" t="e">
        <f t="shared" si="38"/>
        <v>#VALUE!</v>
      </c>
      <c r="AN37" t="s">
        <v>36</v>
      </c>
      <c r="AO37">
        <v>5135</v>
      </c>
      <c r="AP37">
        <v>5135</v>
      </c>
    </row>
    <row r="38" hidden="1" spans="1:42">
      <c r="A38" s="1"/>
      <c r="B38" t="s">
        <v>109</v>
      </c>
      <c r="C38" t="s">
        <v>110</v>
      </c>
      <c r="D38" s="8" t="s">
        <v>111</v>
      </c>
      <c r="G38" s="1"/>
      <c r="H38" s="9"/>
      <c r="I38" s="13" t="s">
        <v>36</v>
      </c>
      <c r="O38" t="s">
        <v>112</v>
      </c>
      <c r="S38">
        <f t="shared" si="41"/>
        <v>0</v>
      </c>
      <c r="X38">
        <f t="shared" si="40"/>
        <v>0</v>
      </c>
      <c r="Y38" t="e">
        <f t="shared" si="37"/>
        <v>#DIV/0!</v>
      </c>
      <c r="AB38">
        <v>2022</v>
      </c>
      <c r="AC38" s="26">
        <v>425600</v>
      </c>
      <c r="AD38" t="s">
        <v>36</v>
      </c>
      <c r="AE38">
        <v>2317</v>
      </c>
      <c r="AJ38" t="e">
        <f t="shared" si="38"/>
        <v>#DIV/0!</v>
      </c>
      <c r="AN38" t="s">
        <v>36</v>
      </c>
      <c r="AO38" t="e">
        <f t="shared" ref="AO38:AO64" si="42">AJ38*AK38</f>
        <v>#DIV/0!</v>
      </c>
      <c r="AP38">
        <f t="shared" si="39"/>
        <v>0</v>
      </c>
    </row>
    <row r="39" hidden="1" spans="1:42">
      <c r="A39" s="1"/>
      <c r="B39" t="s">
        <v>113</v>
      </c>
      <c r="C39" t="s">
        <v>114</v>
      </c>
      <c r="D39" t="s">
        <v>115</v>
      </c>
      <c r="G39" s="1"/>
      <c r="H39" s="9"/>
      <c r="I39" s="13" t="s">
        <v>36</v>
      </c>
      <c r="S39">
        <f t="shared" si="41"/>
        <v>0</v>
      </c>
      <c r="X39">
        <f t="shared" si="40"/>
        <v>0</v>
      </c>
      <c r="Y39" t="e">
        <f t="shared" si="37"/>
        <v>#DIV/0!</v>
      </c>
      <c r="AB39">
        <v>2022</v>
      </c>
      <c r="AC39" s="26">
        <v>425600</v>
      </c>
      <c r="AJ39" t="e">
        <f t="shared" si="38"/>
        <v>#DIV/0!</v>
      </c>
      <c r="AN39" t="s">
        <v>36</v>
      </c>
      <c r="AO39" t="e">
        <f t="shared" si="42"/>
        <v>#DIV/0!</v>
      </c>
      <c r="AP39">
        <f t="shared" si="39"/>
        <v>0</v>
      </c>
    </row>
    <row r="40" hidden="1" spans="1:42">
      <c r="A40" s="1"/>
      <c r="B40" t="s">
        <v>116</v>
      </c>
      <c r="C40" t="s">
        <v>117</v>
      </c>
      <c r="D40" s="8" t="s">
        <v>118</v>
      </c>
      <c r="G40" s="1"/>
      <c r="H40" s="9"/>
      <c r="I40" s="13" t="s">
        <v>36</v>
      </c>
      <c r="N40" s="9"/>
      <c r="O40" s="13" t="s">
        <v>36</v>
      </c>
      <c r="P40" t="s">
        <v>119</v>
      </c>
      <c r="S40" t="e">
        <f t="shared" si="41"/>
        <v>#VALUE!</v>
      </c>
      <c r="X40">
        <f t="shared" si="40"/>
        <v>0</v>
      </c>
      <c r="Y40" t="e">
        <f t="shared" si="37"/>
        <v>#VALUE!</v>
      </c>
      <c r="AB40">
        <v>34</v>
      </c>
      <c r="AC40" s="26">
        <v>425600</v>
      </c>
      <c r="AD40" t="s">
        <v>36</v>
      </c>
      <c r="AE40" t="s">
        <v>120</v>
      </c>
      <c r="AJ40" t="e">
        <f t="shared" si="38"/>
        <v>#VALUE!</v>
      </c>
      <c r="AN40" t="s">
        <v>36</v>
      </c>
      <c r="AO40" t="e">
        <f t="shared" si="42"/>
        <v>#VALUE!</v>
      </c>
      <c r="AP40">
        <f t="shared" si="39"/>
        <v>0</v>
      </c>
    </row>
    <row r="41" hidden="1" spans="1:42">
      <c r="A41" s="1"/>
      <c r="B41" t="s">
        <v>121</v>
      </c>
      <c r="C41" t="s">
        <v>121</v>
      </c>
      <c r="D41" s="8" t="s">
        <v>122</v>
      </c>
      <c r="G41" s="1"/>
      <c r="H41" s="9"/>
      <c r="I41" s="13" t="s">
        <v>36</v>
      </c>
      <c r="N41" s="9"/>
      <c r="O41" s="13" t="s">
        <v>36</v>
      </c>
      <c r="S41">
        <f t="shared" si="41"/>
        <v>0</v>
      </c>
      <c r="X41">
        <f t="shared" si="40"/>
        <v>0</v>
      </c>
      <c r="Y41" t="e">
        <f t="shared" si="37"/>
        <v>#DIV/0!</v>
      </c>
      <c r="AB41">
        <v>2022</v>
      </c>
      <c r="AC41" s="26">
        <v>425600</v>
      </c>
      <c r="AD41" t="s">
        <v>36</v>
      </c>
      <c r="AE41" t="s">
        <v>123</v>
      </c>
      <c r="AJ41" t="e">
        <f t="shared" si="38"/>
        <v>#DIV/0!</v>
      </c>
      <c r="AN41" t="s">
        <v>36</v>
      </c>
      <c r="AO41" t="e">
        <f t="shared" si="42"/>
        <v>#DIV/0!</v>
      </c>
      <c r="AP41">
        <f t="shared" si="39"/>
        <v>0</v>
      </c>
    </row>
    <row r="42" hidden="1" spans="1:42">
      <c r="A42" s="1"/>
      <c r="B42" t="s">
        <v>124</v>
      </c>
      <c r="C42" t="s">
        <v>125</v>
      </c>
      <c r="D42" t="s">
        <v>126</v>
      </c>
      <c r="G42" s="1"/>
      <c r="H42" s="9"/>
      <c r="I42" s="13" t="s">
        <v>36</v>
      </c>
      <c r="S42">
        <f t="shared" si="41"/>
        <v>0</v>
      </c>
      <c r="X42">
        <f t="shared" si="40"/>
        <v>0</v>
      </c>
      <c r="Y42" t="e">
        <f t="shared" si="37"/>
        <v>#DIV/0!</v>
      </c>
      <c r="AB42">
        <v>2022</v>
      </c>
      <c r="AC42" s="26">
        <v>425600</v>
      </c>
      <c r="AJ42" t="e">
        <f t="shared" si="38"/>
        <v>#DIV/0!</v>
      </c>
      <c r="AN42" t="s">
        <v>36</v>
      </c>
      <c r="AO42" t="e">
        <f t="shared" si="42"/>
        <v>#DIV/0!</v>
      </c>
      <c r="AP42">
        <f t="shared" si="39"/>
        <v>0</v>
      </c>
    </row>
    <row r="43" hidden="1" spans="1:42">
      <c r="A43" s="1"/>
      <c r="B43" t="s">
        <v>127</v>
      </c>
      <c r="C43" t="s">
        <v>128</v>
      </c>
      <c r="D43" t="s">
        <v>129</v>
      </c>
      <c r="G43" s="1"/>
      <c r="H43" s="9"/>
      <c r="I43" s="13" t="s">
        <v>36</v>
      </c>
      <c r="S43">
        <f t="shared" si="41"/>
        <v>0</v>
      </c>
      <c r="X43">
        <f t="shared" si="40"/>
        <v>0</v>
      </c>
      <c r="Y43" t="e">
        <f t="shared" si="37"/>
        <v>#DIV/0!</v>
      </c>
      <c r="AB43">
        <v>2022</v>
      </c>
      <c r="AC43" s="26">
        <v>425600</v>
      </c>
      <c r="AJ43" t="e">
        <f t="shared" si="38"/>
        <v>#DIV/0!</v>
      </c>
      <c r="AN43" t="s">
        <v>36</v>
      </c>
      <c r="AO43" t="e">
        <f t="shared" si="42"/>
        <v>#DIV/0!</v>
      </c>
      <c r="AP43">
        <f t="shared" si="39"/>
        <v>0</v>
      </c>
    </row>
    <row r="44" hidden="1" spans="1:42">
      <c r="A44" s="1"/>
      <c r="B44" t="s">
        <v>130</v>
      </c>
      <c r="C44" t="s">
        <v>131</v>
      </c>
      <c r="D44" t="s">
        <v>132</v>
      </c>
      <c r="G44" s="1"/>
      <c r="H44" s="9"/>
      <c r="I44" s="13" t="s">
        <v>36</v>
      </c>
      <c r="S44">
        <f t="shared" si="41"/>
        <v>0</v>
      </c>
      <c r="X44">
        <f t="shared" si="40"/>
        <v>0</v>
      </c>
      <c r="Y44" t="e">
        <f t="shared" si="37"/>
        <v>#DIV/0!</v>
      </c>
      <c r="AB44">
        <v>2022</v>
      </c>
      <c r="AC44" s="26">
        <v>425600</v>
      </c>
      <c r="AJ44" t="e">
        <f t="shared" si="38"/>
        <v>#DIV/0!</v>
      </c>
      <c r="AN44" t="s">
        <v>36</v>
      </c>
      <c r="AO44" t="e">
        <f t="shared" si="42"/>
        <v>#DIV/0!</v>
      </c>
      <c r="AP44">
        <f t="shared" si="39"/>
        <v>0</v>
      </c>
    </row>
    <row r="45" hidden="1" spans="1:42">
      <c r="A45" s="1"/>
      <c r="B45" t="s">
        <v>133</v>
      </c>
      <c r="C45" t="s">
        <v>134</v>
      </c>
      <c r="D45" t="s">
        <v>135</v>
      </c>
      <c r="G45" s="1"/>
      <c r="H45" s="9"/>
      <c r="I45" s="13" t="s">
        <v>36</v>
      </c>
      <c r="S45">
        <f t="shared" si="41"/>
        <v>0</v>
      </c>
      <c r="X45">
        <f t="shared" si="40"/>
        <v>0</v>
      </c>
      <c r="Y45" t="e">
        <f t="shared" si="37"/>
        <v>#DIV/0!</v>
      </c>
      <c r="AB45">
        <v>2022</v>
      </c>
      <c r="AC45" s="26">
        <v>425600</v>
      </c>
      <c r="AJ45" t="e">
        <f t="shared" si="38"/>
        <v>#DIV/0!</v>
      </c>
      <c r="AN45" t="s">
        <v>36</v>
      </c>
      <c r="AO45" t="e">
        <f t="shared" si="42"/>
        <v>#DIV/0!</v>
      </c>
      <c r="AP45">
        <f t="shared" si="39"/>
        <v>0</v>
      </c>
    </row>
    <row r="46" hidden="1" spans="1:42">
      <c r="A46" s="1"/>
      <c r="B46" t="s">
        <v>136</v>
      </c>
      <c r="C46" t="s">
        <v>137</v>
      </c>
      <c r="D46" t="s">
        <v>135</v>
      </c>
      <c r="G46" s="1"/>
      <c r="H46" s="9"/>
      <c r="I46" s="13" t="s">
        <v>36</v>
      </c>
      <c r="S46">
        <f t="shared" si="41"/>
        <v>0</v>
      </c>
      <c r="X46">
        <f t="shared" si="40"/>
        <v>0</v>
      </c>
      <c r="Y46" t="e">
        <f t="shared" si="37"/>
        <v>#DIV/0!</v>
      </c>
      <c r="AB46">
        <v>2022</v>
      </c>
      <c r="AC46" s="26">
        <v>425600</v>
      </c>
      <c r="AJ46" t="e">
        <f t="shared" si="38"/>
        <v>#DIV/0!</v>
      </c>
      <c r="AN46" t="s">
        <v>36</v>
      </c>
      <c r="AO46" t="e">
        <f t="shared" si="42"/>
        <v>#DIV/0!</v>
      </c>
      <c r="AP46">
        <f t="shared" si="39"/>
        <v>0</v>
      </c>
    </row>
    <row r="47" hidden="1" spans="1:42">
      <c r="A47" s="1"/>
      <c r="B47" t="s">
        <v>138</v>
      </c>
      <c r="C47" t="s">
        <v>139</v>
      </c>
      <c r="D47" t="s">
        <v>135</v>
      </c>
      <c r="G47" s="1"/>
      <c r="H47" s="9"/>
      <c r="I47" s="13" t="s">
        <v>36</v>
      </c>
      <c r="S47">
        <f t="shared" si="41"/>
        <v>0</v>
      </c>
      <c r="X47">
        <f t="shared" si="40"/>
        <v>0</v>
      </c>
      <c r="Y47" t="e">
        <f t="shared" si="37"/>
        <v>#DIV/0!</v>
      </c>
      <c r="AB47">
        <v>2022</v>
      </c>
      <c r="AC47" s="26">
        <v>425600</v>
      </c>
      <c r="AJ47" t="e">
        <f t="shared" si="38"/>
        <v>#DIV/0!</v>
      </c>
      <c r="AN47" t="s">
        <v>36</v>
      </c>
      <c r="AO47" t="e">
        <f t="shared" si="42"/>
        <v>#DIV/0!</v>
      </c>
      <c r="AP47">
        <f t="shared" si="39"/>
        <v>0</v>
      </c>
    </row>
    <row r="48" hidden="1" spans="1:42">
      <c r="A48" s="1"/>
      <c r="B48" t="s">
        <v>140</v>
      </c>
      <c r="C48" t="s">
        <v>141</v>
      </c>
      <c r="D48" t="s">
        <v>135</v>
      </c>
      <c r="G48" s="1"/>
      <c r="H48" s="9"/>
      <c r="I48" s="13" t="s">
        <v>36</v>
      </c>
      <c r="S48">
        <f t="shared" si="41"/>
        <v>0</v>
      </c>
      <c r="X48">
        <f t="shared" si="40"/>
        <v>0</v>
      </c>
      <c r="Y48" t="e">
        <f t="shared" si="37"/>
        <v>#DIV/0!</v>
      </c>
      <c r="AB48">
        <v>2022</v>
      </c>
      <c r="AC48" s="26">
        <v>425600</v>
      </c>
      <c r="AJ48" t="e">
        <f t="shared" si="38"/>
        <v>#DIV/0!</v>
      </c>
      <c r="AN48" t="s">
        <v>36</v>
      </c>
      <c r="AO48" t="e">
        <f t="shared" si="42"/>
        <v>#DIV/0!</v>
      </c>
      <c r="AP48">
        <f t="shared" si="39"/>
        <v>0</v>
      </c>
    </row>
    <row r="49" hidden="1" spans="1:42">
      <c r="A49" s="1"/>
      <c r="B49" t="s">
        <v>142</v>
      </c>
      <c r="C49" t="s">
        <v>143</v>
      </c>
      <c r="D49" t="s">
        <v>144</v>
      </c>
      <c r="G49" s="1"/>
      <c r="H49" s="9"/>
      <c r="I49" s="13" t="s">
        <v>36</v>
      </c>
      <c r="S49">
        <f t="shared" si="41"/>
        <v>0</v>
      </c>
      <c r="X49">
        <f t="shared" si="40"/>
        <v>0</v>
      </c>
      <c r="Y49" t="e">
        <f t="shared" si="37"/>
        <v>#DIV/0!</v>
      </c>
      <c r="AB49">
        <v>2022</v>
      </c>
      <c r="AC49" s="26">
        <v>425600</v>
      </c>
      <c r="AJ49" t="e">
        <f t="shared" si="38"/>
        <v>#DIV/0!</v>
      </c>
      <c r="AN49" t="s">
        <v>36</v>
      </c>
      <c r="AO49" t="e">
        <f t="shared" si="42"/>
        <v>#DIV/0!</v>
      </c>
      <c r="AP49">
        <f t="shared" si="39"/>
        <v>0</v>
      </c>
    </row>
    <row r="50" hidden="1" spans="1:42">
      <c r="A50" s="1"/>
      <c r="B50" t="s">
        <v>145</v>
      </c>
      <c r="C50" t="s">
        <v>146</v>
      </c>
      <c r="D50" t="s">
        <v>144</v>
      </c>
      <c r="G50" s="1"/>
      <c r="H50" s="9"/>
      <c r="I50" s="13" t="s">
        <v>36</v>
      </c>
      <c r="S50">
        <f t="shared" si="41"/>
        <v>0</v>
      </c>
      <c r="X50">
        <f t="shared" si="40"/>
        <v>0</v>
      </c>
      <c r="Y50" t="e">
        <f t="shared" si="37"/>
        <v>#DIV/0!</v>
      </c>
      <c r="AB50">
        <v>2022</v>
      </c>
      <c r="AC50" s="26">
        <v>425600</v>
      </c>
      <c r="AJ50" t="e">
        <f t="shared" si="38"/>
        <v>#DIV/0!</v>
      </c>
      <c r="AN50" t="s">
        <v>36</v>
      </c>
      <c r="AO50" t="e">
        <f t="shared" si="42"/>
        <v>#DIV/0!</v>
      </c>
      <c r="AP50">
        <f t="shared" si="39"/>
        <v>0</v>
      </c>
    </row>
    <row r="51" hidden="1" spans="1:42">
      <c r="A51" s="1"/>
      <c r="B51" t="s">
        <v>147</v>
      </c>
      <c r="C51" t="s">
        <v>148</v>
      </c>
      <c r="D51" t="s">
        <v>144</v>
      </c>
      <c r="G51" s="1"/>
      <c r="H51" s="9"/>
      <c r="I51" s="13" t="s">
        <v>36</v>
      </c>
      <c r="S51">
        <f t="shared" si="41"/>
        <v>0</v>
      </c>
      <c r="X51">
        <f t="shared" si="40"/>
        <v>0</v>
      </c>
      <c r="Y51" t="e">
        <f t="shared" si="37"/>
        <v>#DIV/0!</v>
      </c>
      <c r="AB51">
        <v>2022</v>
      </c>
      <c r="AC51" s="26">
        <v>425600</v>
      </c>
      <c r="AJ51" t="e">
        <f t="shared" si="38"/>
        <v>#DIV/0!</v>
      </c>
      <c r="AN51" t="s">
        <v>36</v>
      </c>
      <c r="AO51" t="e">
        <f t="shared" si="42"/>
        <v>#DIV/0!</v>
      </c>
      <c r="AP51">
        <f t="shared" si="39"/>
        <v>0</v>
      </c>
    </row>
    <row r="52" hidden="1" spans="1:42">
      <c r="A52" s="1"/>
      <c r="B52" t="s">
        <v>149</v>
      </c>
      <c r="C52" t="s">
        <v>150</v>
      </c>
      <c r="D52" t="s">
        <v>151</v>
      </c>
      <c r="G52" s="1"/>
      <c r="H52" s="9"/>
      <c r="I52" s="13" t="s">
        <v>36</v>
      </c>
      <c r="S52">
        <f t="shared" si="41"/>
        <v>0</v>
      </c>
      <c r="X52">
        <f t="shared" si="40"/>
        <v>0</v>
      </c>
      <c r="Y52" t="e">
        <f t="shared" si="37"/>
        <v>#DIV/0!</v>
      </c>
      <c r="AB52">
        <v>2022</v>
      </c>
      <c r="AC52" s="26">
        <v>425600</v>
      </c>
      <c r="AJ52" t="e">
        <f t="shared" si="38"/>
        <v>#DIV/0!</v>
      </c>
      <c r="AN52" t="s">
        <v>36</v>
      </c>
      <c r="AO52" t="e">
        <f t="shared" si="42"/>
        <v>#DIV/0!</v>
      </c>
      <c r="AP52">
        <f t="shared" si="39"/>
        <v>0</v>
      </c>
    </row>
    <row r="53" hidden="1" spans="1:42">
      <c r="A53" s="1"/>
      <c r="B53" t="s">
        <v>152</v>
      </c>
      <c r="C53" t="s">
        <v>153</v>
      </c>
      <c r="D53" t="s">
        <v>151</v>
      </c>
      <c r="G53" s="1"/>
      <c r="H53" s="9"/>
      <c r="I53" s="13" t="s">
        <v>36</v>
      </c>
      <c r="S53">
        <f t="shared" si="41"/>
        <v>0</v>
      </c>
      <c r="X53">
        <f t="shared" si="40"/>
        <v>0</v>
      </c>
      <c r="Y53" t="e">
        <f t="shared" si="37"/>
        <v>#DIV/0!</v>
      </c>
      <c r="AB53">
        <v>2022</v>
      </c>
      <c r="AC53" s="26">
        <v>425600</v>
      </c>
      <c r="AJ53" t="e">
        <f t="shared" si="38"/>
        <v>#DIV/0!</v>
      </c>
      <c r="AN53" t="s">
        <v>36</v>
      </c>
      <c r="AO53" t="e">
        <f t="shared" si="42"/>
        <v>#DIV/0!</v>
      </c>
      <c r="AP53">
        <f t="shared" si="39"/>
        <v>0</v>
      </c>
    </row>
    <row r="54" hidden="1" spans="1:42">
      <c r="A54" s="1"/>
      <c r="B54" t="s">
        <v>154</v>
      </c>
      <c r="C54" t="s">
        <v>155</v>
      </c>
      <c r="D54" t="s">
        <v>151</v>
      </c>
      <c r="G54" s="1"/>
      <c r="H54" s="9"/>
      <c r="I54" s="13" t="s">
        <v>36</v>
      </c>
      <c r="S54">
        <f t="shared" si="41"/>
        <v>0</v>
      </c>
      <c r="X54">
        <f t="shared" si="40"/>
        <v>0</v>
      </c>
      <c r="Y54" t="e">
        <f t="shared" si="37"/>
        <v>#DIV/0!</v>
      </c>
      <c r="AB54">
        <v>2022</v>
      </c>
      <c r="AC54" s="26">
        <v>425600</v>
      </c>
      <c r="AJ54" t="e">
        <f t="shared" si="38"/>
        <v>#DIV/0!</v>
      </c>
      <c r="AN54" t="s">
        <v>36</v>
      </c>
      <c r="AO54" t="e">
        <f t="shared" si="42"/>
        <v>#DIV/0!</v>
      </c>
      <c r="AP54">
        <f t="shared" si="39"/>
        <v>0</v>
      </c>
    </row>
    <row r="55" hidden="1" spans="1:42">
      <c r="A55" s="1"/>
      <c r="B55" t="s">
        <v>156</v>
      </c>
      <c r="C55" t="s">
        <v>157</v>
      </c>
      <c r="D55" t="s">
        <v>151</v>
      </c>
      <c r="G55" s="1"/>
      <c r="H55" s="9"/>
      <c r="I55" s="13" t="s">
        <v>36</v>
      </c>
      <c r="S55">
        <f t="shared" si="41"/>
        <v>0</v>
      </c>
      <c r="X55">
        <f t="shared" si="40"/>
        <v>0</v>
      </c>
      <c r="Y55" t="e">
        <f t="shared" si="37"/>
        <v>#DIV/0!</v>
      </c>
      <c r="AB55">
        <v>2022</v>
      </c>
      <c r="AC55" s="26">
        <v>425600</v>
      </c>
      <c r="AJ55" t="e">
        <f t="shared" si="38"/>
        <v>#DIV/0!</v>
      </c>
      <c r="AN55" t="s">
        <v>36</v>
      </c>
      <c r="AO55" t="e">
        <f t="shared" si="42"/>
        <v>#DIV/0!</v>
      </c>
      <c r="AP55">
        <f t="shared" si="39"/>
        <v>0</v>
      </c>
    </row>
    <row r="56" hidden="1" spans="1:42">
      <c r="A56" s="1"/>
      <c r="B56" t="s">
        <v>158</v>
      </c>
      <c r="C56" t="s">
        <v>159</v>
      </c>
      <c r="D56" t="s">
        <v>160</v>
      </c>
      <c r="G56" s="1"/>
      <c r="H56" s="9"/>
      <c r="I56" s="13" t="s">
        <v>36</v>
      </c>
      <c r="S56">
        <f t="shared" si="41"/>
        <v>0</v>
      </c>
      <c r="X56">
        <f t="shared" si="40"/>
        <v>0</v>
      </c>
      <c r="Y56" t="e">
        <f t="shared" si="37"/>
        <v>#DIV/0!</v>
      </c>
      <c r="AB56">
        <v>2022</v>
      </c>
      <c r="AC56" s="26">
        <v>425600</v>
      </c>
      <c r="AJ56" t="e">
        <f t="shared" si="38"/>
        <v>#DIV/0!</v>
      </c>
      <c r="AN56" t="s">
        <v>36</v>
      </c>
      <c r="AO56" t="e">
        <f t="shared" si="42"/>
        <v>#DIV/0!</v>
      </c>
      <c r="AP56">
        <f t="shared" si="39"/>
        <v>0</v>
      </c>
    </row>
    <row r="57" hidden="1" spans="1:42">
      <c r="A57" s="1"/>
      <c r="B57" s="7" t="s">
        <v>161</v>
      </c>
      <c r="C57" s="7" t="s">
        <v>161</v>
      </c>
      <c r="D57" s="3" t="s">
        <v>162</v>
      </c>
      <c r="E57" s="3"/>
      <c r="F57" s="12">
        <v>0.007</v>
      </c>
      <c r="G57" s="1"/>
      <c r="H57" s="9"/>
      <c r="I57" s="17" t="s">
        <v>36</v>
      </c>
      <c r="J57" s="3"/>
      <c r="K57" s="3"/>
      <c r="L57" s="3"/>
      <c r="M57" s="3"/>
      <c r="N57" s="3"/>
      <c r="O57" s="3"/>
      <c r="P57" s="3"/>
      <c r="Q57" s="3"/>
      <c r="R57" s="3"/>
      <c r="S57">
        <f t="shared" si="41"/>
        <v>0</v>
      </c>
      <c r="T57" s="3"/>
      <c r="U57" s="3"/>
      <c r="V57" s="3"/>
      <c r="W57" s="3"/>
      <c r="X57" s="3">
        <f t="shared" si="40"/>
        <v>0</v>
      </c>
      <c r="Y57" s="3" t="e">
        <f t="shared" si="37"/>
        <v>#DIV/0!</v>
      </c>
      <c r="Z57" s="3"/>
      <c r="AA57" s="3">
        <v>0.007</v>
      </c>
      <c r="AB57" s="3">
        <v>2022</v>
      </c>
      <c r="AC57" s="26">
        <v>425600</v>
      </c>
      <c r="AD57" s="3" t="s">
        <v>36</v>
      </c>
      <c r="AE57" s="3"/>
      <c r="AF57" s="3"/>
      <c r="AG57" s="3"/>
      <c r="AH57" s="3"/>
      <c r="AI57" s="3"/>
      <c r="AJ57" s="3" t="e">
        <f t="shared" si="38"/>
        <v>#DIV/0!</v>
      </c>
      <c r="AK57" s="3"/>
      <c r="AL57" s="3"/>
      <c r="AM57" s="3"/>
      <c r="AN57" s="3" t="s">
        <v>36</v>
      </c>
      <c r="AO57" s="3" t="e">
        <f t="shared" si="42"/>
        <v>#DIV/0!</v>
      </c>
      <c r="AP57" s="3">
        <f t="shared" si="39"/>
        <v>0</v>
      </c>
    </row>
    <row r="58" hidden="1" spans="1:42">
      <c r="A58" s="1"/>
      <c r="B58" t="s">
        <v>163</v>
      </c>
      <c r="C58" t="s">
        <v>164</v>
      </c>
      <c r="D58" s="8" t="s">
        <v>165</v>
      </c>
      <c r="G58" s="1"/>
      <c r="H58" s="9"/>
      <c r="I58" s="13" t="s">
        <v>36</v>
      </c>
      <c r="N58" s="9"/>
      <c r="O58" s="13" t="s">
        <v>36</v>
      </c>
      <c r="S58">
        <f t="shared" si="41"/>
        <v>0</v>
      </c>
      <c r="X58">
        <f t="shared" si="40"/>
        <v>0</v>
      </c>
      <c r="Y58" t="e">
        <f t="shared" si="37"/>
        <v>#DIV/0!</v>
      </c>
      <c r="Z58" s="23">
        <v>-0.2</v>
      </c>
      <c r="AB58">
        <v>2022</v>
      </c>
      <c r="AC58" s="26">
        <v>425600</v>
      </c>
      <c r="AD58" t="s">
        <v>36</v>
      </c>
      <c r="AE58" t="s">
        <v>166</v>
      </c>
      <c r="AJ58" t="e">
        <f t="shared" si="38"/>
        <v>#DIV/0!</v>
      </c>
      <c r="AN58" t="s">
        <v>36</v>
      </c>
      <c r="AO58" t="e">
        <f t="shared" si="42"/>
        <v>#DIV/0!</v>
      </c>
      <c r="AP58">
        <f t="shared" si="39"/>
        <v>0</v>
      </c>
    </row>
    <row r="59" hidden="1" spans="1:42">
      <c r="A59" s="1"/>
      <c r="B59" t="s">
        <v>167</v>
      </c>
      <c r="C59" t="s">
        <v>168</v>
      </c>
      <c r="D59" s="8" t="s">
        <v>165</v>
      </c>
      <c r="G59" s="1"/>
      <c r="H59" s="9"/>
      <c r="I59" s="13" t="s">
        <v>36</v>
      </c>
      <c r="N59" s="9"/>
      <c r="O59" s="13" t="s">
        <v>36</v>
      </c>
      <c r="S59">
        <f t="shared" si="41"/>
        <v>0</v>
      </c>
      <c r="X59">
        <f t="shared" si="40"/>
        <v>0</v>
      </c>
      <c r="Y59" t="e">
        <f t="shared" si="37"/>
        <v>#DIV/0!</v>
      </c>
      <c r="Z59" s="23">
        <v>-0.2</v>
      </c>
      <c r="AB59">
        <v>2022</v>
      </c>
      <c r="AC59" s="26">
        <v>425600</v>
      </c>
      <c r="AD59" t="s">
        <v>36</v>
      </c>
      <c r="AE59" t="s">
        <v>166</v>
      </c>
      <c r="AJ59" t="e">
        <f t="shared" si="38"/>
        <v>#DIV/0!</v>
      </c>
      <c r="AN59" t="s">
        <v>36</v>
      </c>
      <c r="AO59" t="e">
        <f t="shared" si="42"/>
        <v>#DIV/0!</v>
      </c>
      <c r="AP59">
        <f t="shared" si="39"/>
        <v>0</v>
      </c>
    </row>
    <row r="60" hidden="1" spans="1:42">
      <c r="A60" s="1"/>
      <c r="B60" t="s">
        <v>169</v>
      </c>
      <c r="C60" t="s">
        <v>170</v>
      </c>
      <c r="D60" s="8" t="s">
        <v>165</v>
      </c>
      <c r="G60" s="1"/>
      <c r="H60" s="9"/>
      <c r="I60" s="13" t="s">
        <v>36</v>
      </c>
      <c r="N60" s="9"/>
      <c r="O60" s="13" t="s">
        <v>36</v>
      </c>
      <c r="S60">
        <f t="shared" si="41"/>
        <v>0</v>
      </c>
      <c r="X60">
        <f t="shared" si="40"/>
        <v>0</v>
      </c>
      <c r="Y60" t="e">
        <f t="shared" si="37"/>
        <v>#DIV/0!</v>
      </c>
      <c r="Z60" s="23">
        <v>-0.2</v>
      </c>
      <c r="AB60">
        <v>2022</v>
      </c>
      <c r="AC60" s="26">
        <v>425600</v>
      </c>
      <c r="AD60" t="s">
        <v>36</v>
      </c>
      <c r="AE60" t="s">
        <v>166</v>
      </c>
      <c r="AJ60" t="e">
        <f t="shared" si="38"/>
        <v>#DIV/0!</v>
      </c>
      <c r="AN60" t="s">
        <v>36</v>
      </c>
      <c r="AO60" t="e">
        <f t="shared" si="42"/>
        <v>#DIV/0!</v>
      </c>
      <c r="AP60">
        <f t="shared" si="39"/>
        <v>0</v>
      </c>
    </row>
    <row r="61" hidden="1" spans="1:42">
      <c r="A61" s="1"/>
      <c r="B61" t="s">
        <v>171</v>
      </c>
      <c r="C61" t="s">
        <v>172</v>
      </c>
      <c r="D61" t="s">
        <v>173</v>
      </c>
      <c r="G61" s="1"/>
      <c r="H61" s="9"/>
      <c r="I61" s="13" t="s">
        <v>36</v>
      </c>
      <c r="S61">
        <f t="shared" si="41"/>
        <v>0</v>
      </c>
      <c r="X61">
        <f t="shared" si="40"/>
        <v>0</v>
      </c>
      <c r="Y61" t="e">
        <f t="shared" si="37"/>
        <v>#DIV/0!</v>
      </c>
      <c r="AB61">
        <v>2022</v>
      </c>
      <c r="AC61" s="26">
        <v>425600</v>
      </c>
      <c r="AJ61" t="e">
        <f t="shared" si="38"/>
        <v>#DIV/0!</v>
      </c>
      <c r="AN61" t="s">
        <v>36</v>
      </c>
      <c r="AO61" t="e">
        <f t="shared" si="42"/>
        <v>#DIV/0!</v>
      </c>
      <c r="AP61">
        <f t="shared" si="39"/>
        <v>0</v>
      </c>
    </row>
    <row r="62" hidden="1" spans="1:42">
      <c r="A62" s="1"/>
      <c r="B62" t="s">
        <v>174</v>
      </c>
      <c r="C62" t="s">
        <v>175</v>
      </c>
      <c r="D62" s="1" t="s">
        <v>176</v>
      </c>
      <c r="G62" s="1"/>
      <c r="H62" s="9"/>
      <c r="I62" s="13" t="s">
        <v>36</v>
      </c>
      <c r="S62">
        <f t="shared" si="41"/>
        <v>0</v>
      </c>
      <c r="X62">
        <f t="shared" si="40"/>
        <v>0</v>
      </c>
      <c r="Y62" t="e">
        <f t="shared" si="37"/>
        <v>#DIV/0!</v>
      </c>
      <c r="AB62">
        <v>2022</v>
      </c>
      <c r="AC62" s="26">
        <v>425600</v>
      </c>
      <c r="AJ62" t="e">
        <f t="shared" si="38"/>
        <v>#DIV/0!</v>
      </c>
      <c r="AN62" t="s">
        <v>36</v>
      </c>
      <c r="AO62" t="e">
        <f t="shared" si="42"/>
        <v>#DIV/0!</v>
      </c>
      <c r="AP62">
        <f t="shared" si="39"/>
        <v>0</v>
      </c>
    </row>
    <row r="63" hidden="1" spans="1:42">
      <c r="A63" s="1"/>
      <c r="B63" t="s">
        <v>177</v>
      </c>
      <c r="C63" t="s">
        <v>178</v>
      </c>
      <c r="D63" s="1" t="s">
        <v>176</v>
      </c>
      <c r="G63" s="1"/>
      <c r="H63" s="9"/>
      <c r="I63" s="13" t="s">
        <v>36</v>
      </c>
      <c r="S63">
        <f t="shared" si="41"/>
        <v>0</v>
      </c>
      <c r="X63">
        <f t="shared" si="40"/>
        <v>0</v>
      </c>
      <c r="Y63" t="e">
        <f t="shared" si="37"/>
        <v>#DIV/0!</v>
      </c>
      <c r="AB63">
        <v>2022</v>
      </c>
      <c r="AC63" s="26">
        <v>425600</v>
      </c>
      <c r="AJ63" t="e">
        <f t="shared" si="38"/>
        <v>#DIV/0!</v>
      </c>
      <c r="AN63" t="s">
        <v>36</v>
      </c>
      <c r="AO63" t="e">
        <f t="shared" si="42"/>
        <v>#DIV/0!</v>
      </c>
      <c r="AP63">
        <f t="shared" si="39"/>
        <v>0</v>
      </c>
    </row>
    <row r="64" hidden="1" spans="1:42">
      <c r="A64" s="1"/>
      <c r="B64" t="s">
        <v>179</v>
      </c>
      <c r="C64" t="s">
        <v>180</v>
      </c>
      <c r="D64" s="1" t="s">
        <v>176</v>
      </c>
      <c r="G64" s="1"/>
      <c r="H64" s="9"/>
      <c r="I64" s="13" t="s">
        <v>36</v>
      </c>
      <c r="S64">
        <f t="shared" si="41"/>
        <v>0</v>
      </c>
      <c r="X64">
        <f t="shared" si="40"/>
        <v>0</v>
      </c>
      <c r="Y64" t="e">
        <f t="shared" si="37"/>
        <v>#DIV/0!</v>
      </c>
      <c r="AB64">
        <v>2022</v>
      </c>
      <c r="AC64" s="26">
        <v>425600</v>
      </c>
      <c r="AJ64" t="e">
        <f t="shared" si="38"/>
        <v>#DIV/0!</v>
      </c>
      <c r="AN64" t="s">
        <v>36</v>
      </c>
      <c r="AO64" t="e">
        <f t="shared" si="42"/>
        <v>#DIV/0!</v>
      </c>
      <c r="AP64">
        <f t="shared" si="39"/>
        <v>0</v>
      </c>
    </row>
    <row r="65" hidden="1" spans="1:42">
      <c r="A65" s="1"/>
      <c r="B65" t="s">
        <v>181</v>
      </c>
      <c r="C65" t="s">
        <v>182</v>
      </c>
      <c r="D65" t="s">
        <v>183</v>
      </c>
      <c r="G65" s="1"/>
      <c r="H65" s="9"/>
      <c r="I65" s="13" t="s">
        <v>36</v>
      </c>
      <c r="S65">
        <f t="shared" si="41"/>
        <v>0</v>
      </c>
      <c r="X65">
        <f t="shared" si="40"/>
        <v>0</v>
      </c>
      <c r="Y65" t="e">
        <f t="shared" si="37"/>
        <v>#DIV/0!</v>
      </c>
      <c r="AB65">
        <v>2022</v>
      </c>
      <c r="AC65" s="26">
        <v>425600</v>
      </c>
      <c r="AJ65" t="e">
        <f t="shared" si="38"/>
        <v>#DIV/0!</v>
      </c>
      <c r="AN65" t="s">
        <v>36</v>
      </c>
      <c r="AO65">
        <v>46371</v>
      </c>
      <c r="AP65">
        <v>46371</v>
      </c>
    </row>
    <row r="66" hidden="1" spans="1:42">
      <c r="A66" s="1"/>
      <c r="B66" s="3" t="s">
        <v>184</v>
      </c>
      <c r="C66" s="3" t="s">
        <v>184</v>
      </c>
      <c r="D66" s="3" t="s">
        <v>184</v>
      </c>
      <c r="E66" s="3"/>
      <c r="F66" s="12">
        <v>0.014</v>
      </c>
      <c r="G66" s="1"/>
      <c r="H66" s="9"/>
      <c r="I66" s="13" t="s">
        <v>36</v>
      </c>
      <c r="N66" s="3"/>
      <c r="O66" s="3" t="s">
        <v>36</v>
      </c>
      <c r="P66" t="s">
        <v>185</v>
      </c>
      <c r="S66" t="e">
        <f t="shared" si="41"/>
        <v>#VALUE!</v>
      </c>
      <c r="X66">
        <f t="shared" si="40"/>
        <v>0</v>
      </c>
      <c r="Y66" t="e">
        <f t="shared" si="37"/>
        <v>#VALUE!</v>
      </c>
      <c r="AA66">
        <v>0.014</v>
      </c>
      <c r="AB66">
        <v>2022</v>
      </c>
      <c r="AC66" s="26">
        <v>425600</v>
      </c>
      <c r="AD66" s="3" t="s">
        <v>36</v>
      </c>
      <c r="AE66" s="3" t="s">
        <v>186</v>
      </c>
      <c r="AJ66" t="e">
        <f t="shared" si="38"/>
        <v>#VALUE!</v>
      </c>
      <c r="AN66" t="s">
        <v>36</v>
      </c>
      <c r="AO66" s="26">
        <v>20488</v>
      </c>
      <c r="AP66" s="26">
        <v>20488</v>
      </c>
    </row>
    <row r="67" hidden="1" spans="1:42">
      <c r="A67" s="1"/>
      <c r="B67" t="s">
        <v>187</v>
      </c>
      <c r="C67" t="s">
        <v>188</v>
      </c>
      <c r="D67" s="8" t="s">
        <v>189</v>
      </c>
      <c r="G67" s="1"/>
      <c r="H67" s="9"/>
      <c r="I67" s="13" t="s">
        <v>36</v>
      </c>
      <c r="N67" s="9"/>
      <c r="O67" s="13" t="s">
        <v>36</v>
      </c>
      <c r="P67" t="s">
        <v>190</v>
      </c>
      <c r="S67" t="e">
        <f t="shared" si="41"/>
        <v>#VALUE!</v>
      </c>
      <c r="X67">
        <f t="shared" si="40"/>
        <v>0</v>
      </c>
      <c r="Y67" t="e">
        <f t="shared" si="37"/>
        <v>#VALUE!</v>
      </c>
      <c r="AB67">
        <v>84</v>
      </c>
      <c r="AC67" s="26">
        <v>425600</v>
      </c>
      <c r="AD67" t="s">
        <v>53</v>
      </c>
      <c r="AE67">
        <v>6841</v>
      </c>
      <c r="AJ67" t="e">
        <f t="shared" si="38"/>
        <v>#VALUE!</v>
      </c>
      <c r="AN67" t="s">
        <v>36</v>
      </c>
      <c r="AO67">
        <v>14210</v>
      </c>
      <c r="AP67">
        <v>14210</v>
      </c>
    </row>
    <row r="68" hidden="1" spans="1:42">
      <c r="A68" s="1"/>
      <c r="B68" t="s">
        <v>191</v>
      </c>
      <c r="C68" t="s">
        <v>191</v>
      </c>
      <c r="D68" s="8" t="s">
        <v>192</v>
      </c>
      <c r="G68" s="1"/>
      <c r="H68" s="9"/>
      <c r="I68" s="13" t="s">
        <v>36</v>
      </c>
      <c r="N68" s="9"/>
      <c r="O68" s="13" t="s">
        <v>53</v>
      </c>
      <c r="S68">
        <f t="shared" si="41"/>
        <v>0</v>
      </c>
      <c r="X68">
        <f t="shared" si="40"/>
        <v>0</v>
      </c>
      <c r="Y68" t="e">
        <f t="shared" si="37"/>
        <v>#DIV/0!</v>
      </c>
      <c r="AB68">
        <v>2022</v>
      </c>
      <c r="AC68" s="26">
        <v>425600</v>
      </c>
      <c r="AD68" t="s">
        <v>36</v>
      </c>
      <c r="AE68" t="s">
        <v>193</v>
      </c>
      <c r="AJ68" t="e">
        <f t="shared" si="38"/>
        <v>#DIV/0!</v>
      </c>
      <c r="AN68" t="s">
        <v>36</v>
      </c>
      <c r="AO68" t="e">
        <f>AJ68*AK68</f>
        <v>#DIV/0!</v>
      </c>
      <c r="AP68">
        <f t="shared" ref="AP68:AP73" si="43">AK68*AL68</f>
        <v>0</v>
      </c>
    </row>
    <row r="69" hidden="1" spans="1:42">
      <c r="A69" s="1"/>
      <c r="B69" t="s">
        <v>194</v>
      </c>
      <c r="C69" t="s">
        <v>194</v>
      </c>
      <c r="D69" s="8" t="s">
        <v>192</v>
      </c>
      <c r="G69" s="1"/>
      <c r="H69" s="9"/>
      <c r="I69" s="13" t="s">
        <v>36</v>
      </c>
      <c r="N69" s="9"/>
      <c r="O69" s="13" t="s">
        <v>53</v>
      </c>
      <c r="S69">
        <f t="shared" si="41"/>
        <v>0</v>
      </c>
      <c r="X69">
        <f t="shared" si="40"/>
        <v>0</v>
      </c>
      <c r="Y69" t="e">
        <f t="shared" si="37"/>
        <v>#DIV/0!</v>
      </c>
      <c r="AB69">
        <v>2022</v>
      </c>
      <c r="AC69" s="26">
        <v>425600</v>
      </c>
      <c r="AD69" t="s">
        <v>36</v>
      </c>
      <c r="AE69" t="s">
        <v>193</v>
      </c>
      <c r="AJ69" t="e">
        <f t="shared" si="38"/>
        <v>#DIV/0!</v>
      </c>
      <c r="AN69" t="s">
        <v>36</v>
      </c>
      <c r="AO69" t="e">
        <f>AJ69*AK69</f>
        <v>#DIV/0!</v>
      </c>
      <c r="AP69">
        <f t="shared" si="43"/>
        <v>0</v>
      </c>
    </row>
    <row r="70" hidden="1" spans="1:42">
      <c r="A70" s="1"/>
      <c r="B70" t="s">
        <v>195</v>
      </c>
      <c r="C70" t="s">
        <v>196</v>
      </c>
      <c r="D70" s="8" t="s">
        <v>197</v>
      </c>
      <c r="G70" s="1"/>
      <c r="H70" s="9"/>
      <c r="I70" s="13" t="s">
        <v>36</v>
      </c>
      <c r="N70" s="9"/>
      <c r="O70" s="13" t="s">
        <v>36</v>
      </c>
      <c r="S70">
        <f t="shared" si="41"/>
        <v>0</v>
      </c>
      <c r="X70">
        <f t="shared" si="40"/>
        <v>0</v>
      </c>
      <c r="Y70" t="e">
        <f t="shared" si="37"/>
        <v>#DIV/0!</v>
      </c>
      <c r="Z70" s="31">
        <v>-3.4</v>
      </c>
      <c r="AB70">
        <v>2022</v>
      </c>
      <c r="AC70" s="26">
        <v>425600</v>
      </c>
      <c r="AD70" t="s">
        <v>36</v>
      </c>
      <c r="AE70" t="s">
        <v>198</v>
      </c>
      <c r="AJ70" t="e">
        <f t="shared" si="38"/>
        <v>#DIV/0!</v>
      </c>
      <c r="AN70" t="s">
        <v>36</v>
      </c>
      <c r="AO70">
        <v>33838</v>
      </c>
      <c r="AP70">
        <v>33838</v>
      </c>
    </row>
    <row r="71" hidden="1" spans="1:42">
      <c r="A71" s="1"/>
      <c r="B71" t="s">
        <v>199</v>
      </c>
      <c r="C71" t="s">
        <v>200</v>
      </c>
      <c r="D71" s="8" t="s">
        <v>197</v>
      </c>
      <c r="G71" s="1"/>
      <c r="H71" s="9"/>
      <c r="I71" s="13" t="s">
        <v>36</v>
      </c>
      <c r="N71" s="9"/>
      <c r="O71" s="13" t="s">
        <v>36</v>
      </c>
      <c r="S71">
        <f t="shared" si="41"/>
        <v>0</v>
      </c>
      <c r="X71">
        <f t="shared" si="40"/>
        <v>0</v>
      </c>
      <c r="Y71" t="e">
        <f t="shared" si="37"/>
        <v>#DIV/0!</v>
      </c>
      <c r="Z71" s="31">
        <v>-3.4</v>
      </c>
      <c r="AB71">
        <v>2022</v>
      </c>
      <c r="AC71" s="26">
        <v>425600</v>
      </c>
      <c r="AD71" t="s">
        <v>36</v>
      </c>
      <c r="AE71" t="s">
        <v>198</v>
      </c>
      <c r="AJ71" t="e">
        <f t="shared" si="38"/>
        <v>#DIV/0!</v>
      </c>
      <c r="AN71" t="s">
        <v>36</v>
      </c>
      <c r="AO71">
        <v>5158</v>
      </c>
      <c r="AP71">
        <v>5158</v>
      </c>
    </row>
    <row r="72" hidden="1" spans="1:42">
      <c r="A72" s="1"/>
      <c r="B72" t="s">
        <v>201</v>
      </c>
      <c r="C72" t="s">
        <v>202</v>
      </c>
      <c r="D72" t="s">
        <v>203</v>
      </c>
      <c r="G72" s="1"/>
      <c r="H72" s="9"/>
      <c r="I72" s="13" t="s">
        <v>36</v>
      </c>
      <c r="N72" s="9"/>
      <c r="O72" s="13" t="s">
        <v>106</v>
      </c>
      <c r="S72">
        <f t="shared" si="41"/>
        <v>0</v>
      </c>
      <c r="X72">
        <f t="shared" si="40"/>
        <v>0</v>
      </c>
      <c r="Y72" t="e">
        <f t="shared" si="37"/>
        <v>#DIV/0!</v>
      </c>
      <c r="AB72">
        <v>2022</v>
      </c>
      <c r="AC72" s="26">
        <v>425600</v>
      </c>
      <c r="AD72" s="13" t="s">
        <v>106</v>
      </c>
      <c r="AE72" t="s">
        <v>204</v>
      </c>
      <c r="AJ72" t="e">
        <f t="shared" si="38"/>
        <v>#DIV/0!</v>
      </c>
      <c r="AN72" t="s">
        <v>36</v>
      </c>
      <c r="AO72" t="e">
        <f>AJ72*AK72</f>
        <v>#DIV/0!</v>
      </c>
      <c r="AP72">
        <f t="shared" si="43"/>
        <v>0</v>
      </c>
    </row>
    <row r="73" hidden="1" spans="1:42">
      <c r="A73" s="1"/>
      <c r="B73" t="s">
        <v>205</v>
      </c>
      <c r="C73" t="s">
        <v>206</v>
      </c>
      <c r="D73" t="s">
        <v>207</v>
      </c>
      <c r="G73" s="1"/>
      <c r="H73" s="9"/>
      <c r="I73" s="13" t="s">
        <v>36</v>
      </c>
      <c r="S73">
        <f t="shared" si="41"/>
        <v>0</v>
      </c>
      <c r="X73">
        <f t="shared" si="40"/>
        <v>0</v>
      </c>
      <c r="Y73" t="e">
        <f t="shared" si="37"/>
        <v>#DIV/0!</v>
      </c>
      <c r="AB73">
        <v>2022</v>
      </c>
      <c r="AC73" s="26">
        <v>425600</v>
      </c>
      <c r="AJ73" t="e">
        <f t="shared" si="38"/>
        <v>#DIV/0!</v>
      </c>
      <c r="AN73" t="s">
        <v>36</v>
      </c>
      <c r="AO73" t="e">
        <f>AJ73*AK73</f>
        <v>#DIV/0!</v>
      </c>
      <c r="AP73">
        <f t="shared" si="43"/>
        <v>0</v>
      </c>
    </row>
    <row r="74" hidden="1" spans="1:42">
      <c r="A74" s="1"/>
      <c r="B74" t="s">
        <v>208</v>
      </c>
      <c r="C74" t="s">
        <v>209</v>
      </c>
      <c r="D74" t="s">
        <v>207</v>
      </c>
      <c r="G74" s="1"/>
      <c r="H74" s="9"/>
      <c r="I74" s="13" t="s">
        <v>36</v>
      </c>
      <c r="S74">
        <f t="shared" si="41"/>
        <v>0</v>
      </c>
      <c r="X74">
        <f t="shared" si="40"/>
        <v>0</v>
      </c>
      <c r="Y74" t="e">
        <f t="shared" si="37"/>
        <v>#DIV/0!</v>
      </c>
      <c r="AB74">
        <v>2022</v>
      </c>
      <c r="AC74" s="26">
        <v>425600</v>
      </c>
      <c r="AJ74" t="e">
        <f t="shared" si="38"/>
        <v>#DIV/0!</v>
      </c>
      <c r="AN74" t="s">
        <v>36</v>
      </c>
      <c r="AO74">
        <v>7331</v>
      </c>
      <c r="AP74">
        <v>7331</v>
      </c>
    </row>
    <row r="75" hidden="1" spans="1:29">
      <c r="A75" s="1"/>
      <c r="B75" t="s">
        <v>210</v>
      </c>
      <c r="C75" t="s">
        <v>210</v>
      </c>
      <c r="D75" t="s">
        <v>211</v>
      </c>
      <c r="G75" s="1"/>
      <c r="H75" s="9"/>
      <c r="I75" s="13"/>
      <c r="S75">
        <f t="shared" si="41"/>
        <v>0</v>
      </c>
      <c r="AB75">
        <v>2022</v>
      </c>
      <c r="AC75" s="26">
        <v>425600</v>
      </c>
    </row>
    <row r="76" hidden="1" spans="1:42">
      <c r="A76" s="1"/>
      <c r="B76" s="7" t="s">
        <v>212</v>
      </c>
      <c r="C76" s="7" t="s">
        <v>212</v>
      </c>
      <c r="D76" s="3" t="s">
        <v>213</v>
      </c>
      <c r="E76" s="30">
        <v>0.08</v>
      </c>
      <c r="F76" s="3"/>
      <c r="G76" s="1"/>
      <c r="H76" s="9"/>
      <c r="I76" s="13" t="s">
        <v>36</v>
      </c>
      <c r="N76" s="3"/>
      <c r="O76" s="3"/>
      <c r="S76">
        <f t="shared" si="41"/>
        <v>0</v>
      </c>
      <c r="X76">
        <f>V76-W76</f>
        <v>0</v>
      </c>
      <c r="Y76" t="e">
        <f>P76/X76</f>
        <v>#DIV/0!</v>
      </c>
      <c r="AA76">
        <f>4.45%-0.5%</f>
        <v>0.0395</v>
      </c>
      <c r="AB76">
        <v>2022</v>
      </c>
      <c r="AC76" s="26">
        <v>425600</v>
      </c>
      <c r="AD76" s="3"/>
      <c r="AE76" s="3"/>
      <c r="AJ76" t="e">
        <f>Y76*0.1+Z76*0.05+AA76*0.25+AB76*0.15+AC76*0.1+AE76*0.25+AH76*0.1</f>
        <v>#DIV/0!</v>
      </c>
      <c r="AN76" t="s">
        <v>36</v>
      </c>
      <c r="AO76">
        <v>4587</v>
      </c>
      <c r="AP76">
        <v>4587</v>
      </c>
    </row>
    <row r="77" hidden="1" spans="1:42">
      <c r="A77" s="1"/>
      <c r="B77" s="7" t="s">
        <v>214</v>
      </c>
      <c r="C77" s="7" t="s">
        <v>214</v>
      </c>
      <c r="D77" s="3" t="s">
        <v>213</v>
      </c>
      <c r="E77" s="30">
        <v>0.87</v>
      </c>
      <c r="F77" s="12">
        <v>0.005</v>
      </c>
      <c r="G77" s="1"/>
      <c r="H77" s="9"/>
      <c r="I77" s="13" t="s">
        <v>36</v>
      </c>
      <c r="N77" s="3"/>
      <c r="O77" s="3"/>
      <c r="S77">
        <f t="shared" si="41"/>
        <v>0</v>
      </c>
      <c r="X77">
        <f>V77-W77</f>
        <v>0</v>
      </c>
      <c r="Y77" t="e">
        <f>P77/X77</f>
        <v>#DIV/0!</v>
      </c>
      <c r="AA77">
        <v>0.005</v>
      </c>
      <c r="AB77">
        <v>2022</v>
      </c>
      <c r="AC77" s="26">
        <v>425600</v>
      </c>
      <c r="AD77" s="3"/>
      <c r="AE77" s="3"/>
      <c r="AJ77" t="e">
        <f>Y77*0.1+Z77*0.05+AA77*0.25+AB77*0.15+AC77*0.1+AE77*0.25+AH77*0.1</f>
        <v>#DIV/0!</v>
      </c>
      <c r="AN77" t="s">
        <v>36</v>
      </c>
      <c r="AO77" t="e">
        <f>AJ77*AK77</f>
        <v>#DIV/0!</v>
      </c>
      <c r="AP77">
        <f t="shared" ref="AP77:AP83" si="44">AK77*AL77</f>
        <v>0</v>
      </c>
    </row>
    <row r="78" hidden="1" spans="1:30">
      <c r="A78" s="1"/>
      <c r="B78" t="s">
        <v>215</v>
      </c>
      <c r="C78" t="s">
        <v>216</v>
      </c>
      <c r="D78" t="s">
        <v>217</v>
      </c>
      <c r="G78" s="1"/>
      <c r="H78" s="9"/>
      <c r="S78">
        <f t="shared" si="41"/>
        <v>0</v>
      </c>
      <c r="AB78">
        <v>2022</v>
      </c>
      <c r="AC78" s="26">
        <v>425600</v>
      </c>
      <c r="AD78" s="13" t="s">
        <v>53</v>
      </c>
    </row>
    <row r="79" hidden="1" spans="1:42">
      <c r="A79" s="1"/>
      <c r="B79" t="s">
        <v>218</v>
      </c>
      <c r="C79" t="s">
        <v>218</v>
      </c>
      <c r="D79" t="s">
        <v>219</v>
      </c>
      <c r="G79" s="1"/>
      <c r="H79" s="9"/>
      <c r="I79" s="13" t="s">
        <v>36</v>
      </c>
      <c r="S79">
        <f t="shared" si="41"/>
        <v>0</v>
      </c>
      <c r="X79">
        <f t="shared" ref="X79:X142" si="45">V79-W79</f>
        <v>0</v>
      </c>
      <c r="Y79" t="e">
        <f t="shared" ref="Y79:Y142" si="46">P79/X79</f>
        <v>#DIV/0!</v>
      </c>
      <c r="AB79">
        <v>2022</v>
      </c>
      <c r="AC79" s="26">
        <v>425600</v>
      </c>
      <c r="AJ79" t="e">
        <f t="shared" ref="AJ79:AJ142" si="47">Y79*0.1+Z79*0.05+AA79*0.25+AB79*0.15+AC79*0.1+AE79*0.25+AH79*0.1</f>
        <v>#DIV/0!</v>
      </c>
      <c r="AN79" t="s">
        <v>36</v>
      </c>
      <c r="AO79" t="e">
        <f>AJ79*AK79</f>
        <v>#DIV/0!</v>
      </c>
      <c r="AP79">
        <f t="shared" si="44"/>
        <v>0</v>
      </c>
    </row>
    <row r="80" hidden="1" spans="1:42">
      <c r="A80" s="1"/>
      <c r="B80" t="s">
        <v>220</v>
      </c>
      <c r="C80" t="s">
        <v>221</v>
      </c>
      <c r="D80" t="s">
        <v>222</v>
      </c>
      <c r="G80" s="1"/>
      <c r="H80" s="9"/>
      <c r="I80" s="13" t="s">
        <v>36</v>
      </c>
      <c r="S80">
        <f t="shared" si="41"/>
        <v>0</v>
      </c>
      <c r="X80">
        <f t="shared" si="45"/>
        <v>0</v>
      </c>
      <c r="Y80" t="e">
        <f t="shared" si="46"/>
        <v>#DIV/0!</v>
      </c>
      <c r="AB80">
        <v>2022</v>
      </c>
      <c r="AC80" s="26">
        <v>425600</v>
      </c>
      <c r="AJ80" t="e">
        <f t="shared" si="47"/>
        <v>#DIV/0!</v>
      </c>
      <c r="AN80" t="s">
        <v>36</v>
      </c>
      <c r="AO80" t="e">
        <f>AJ80*AK80</f>
        <v>#DIV/0!</v>
      </c>
      <c r="AP80">
        <f t="shared" si="44"/>
        <v>0</v>
      </c>
    </row>
    <row r="81" hidden="1" spans="1:42">
      <c r="A81" s="1"/>
      <c r="B81" t="s">
        <v>223</v>
      </c>
      <c r="C81" t="s">
        <v>224</v>
      </c>
      <c r="D81" t="s">
        <v>222</v>
      </c>
      <c r="G81" s="1"/>
      <c r="H81" s="9"/>
      <c r="I81" s="13" t="s">
        <v>36</v>
      </c>
      <c r="S81">
        <f t="shared" si="41"/>
        <v>0</v>
      </c>
      <c r="X81">
        <f t="shared" si="45"/>
        <v>0</v>
      </c>
      <c r="Y81" t="e">
        <f t="shared" si="46"/>
        <v>#DIV/0!</v>
      </c>
      <c r="AB81">
        <v>2022</v>
      </c>
      <c r="AC81" s="26">
        <v>425600</v>
      </c>
      <c r="AJ81" t="e">
        <f t="shared" si="47"/>
        <v>#DIV/0!</v>
      </c>
      <c r="AN81" t="s">
        <v>36</v>
      </c>
      <c r="AO81" t="e">
        <f>AJ81*AK81</f>
        <v>#DIV/0!</v>
      </c>
      <c r="AP81">
        <f t="shared" si="44"/>
        <v>0</v>
      </c>
    </row>
    <row r="82" hidden="1" spans="1:42">
      <c r="A82" s="1"/>
      <c r="B82" t="s">
        <v>225</v>
      </c>
      <c r="C82" t="s">
        <v>226</v>
      </c>
      <c r="D82" t="s">
        <v>222</v>
      </c>
      <c r="G82" s="1"/>
      <c r="H82" s="9"/>
      <c r="I82" s="13" t="s">
        <v>36</v>
      </c>
      <c r="S82">
        <f t="shared" si="41"/>
        <v>0</v>
      </c>
      <c r="X82">
        <f t="shared" si="45"/>
        <v>0</v>
      </c>
      <c r="Y82" t="e">
        <f t="shared" si="46"/>
        <v>#DIV/0!</v>
      </c>
      <c r="AB82">
        <v>2022</v>
      </c>
      <c r="AC82" s="26">
        <v>425600</v>
      </c>
      <c r="AJ82" t="e">
        <f t="shared" si="47"/>
        <v>#DIV/0!</v>
      </c>
      <c r="AN82" t="s">
        <v>36</v>
      </c>
      <c r="AO82" t="e">
        <f>AJ82*AK82</f>
        <v>#DIV/0!</v>
      </c>
      <c r="AP82">
        <f t="shared" si="44"/>
        <v>0</v>
      </c>
    </row>
    <row r="83" hidden="1" spans="1:42">
      <c r="A83" s="1"/>
      <c r="B83" t="s">
        <v>227</v>
      </c>
      <c r="C83" t="s">
        <v>228</v>
      </c>
      <c r="D83" t="s">
        <v>222</v>
      </c>
      <c r="G83" s="1"/>
      <c r="H83" s="9"/>
      <c r="I83" s="13" t="s">
        <v>36</v>
      </c>
      <c r="S83">
        <f t="shared" si="41"/>
        <v>0</v>
      </c>
      <c r="X83">
        <f t="shared" si="45"/>
        <v>0</v>
      </c>
      <c r="Y83" t="e">
        <f t="shared" si="46"/>
        <v>#DIV/0!</v>
      </c>
      <c r="AB83">
        <v>2022</v>
      </c>
      <c r="AC83" s="26">
        <v>425600</v>
      </c>
      <c r="AJ83" t="e">
        <f t="shared" si="47"/>
        <v>#DIV/0!</v>
      </c>
      <c r="AN83" t="s">
        <v>36</v>
      </c>
      <c r="AO83" t="e">
        <f>AJ83*AK83</f>
        <v>#DIV/0!</v>
      </c>
      <c r="AP83">
        <f t="shared" si="44"/>
        <v>0</v>
      </c>
    </row>
    <row r="84" hidden="1" spans="1:42">
      <c r="A84" s="1"/>
      <c r="B84" t="s">
        <v>229</v>
      </c>
      <c r="C84" t="s">
        <v>230</v>
      </c>
      <c r="D84" t="s">
        <v>222</v>
      </c>
      <c r="G84" s="1"/>
      <c r="H84" s="9"/>
      <c r="I84" s="13" t="s">
        <v>36</v>
      </c>
      <c r="S84">
        <f t="shared" si="41"/>
        <v>0</v>
      </c>
      <c r="X84">
        <f t="shared" si="45"/>
        <v>0</v>
      </c>
      <c r="Y84" t="e">
        <f t="shared" si="46"/>
        <v>#DIV/0!</v>
      </c>
      <c r="AB84">
        <v>2022</v>
      </c>
      <c r="AC84" s="26">
        <v>425600</v>
      </c>
      <c r="AJ84" t="e">
        <f t="shared" si="47"/>
        <v>#DIV/0!</v>
      </c>
      <c r="AN84" t="s">
        <v>36</v>
      </c>
      <c r="AO84" s="26">
        <v>83709</v>
      </c>
      <c r="AP84" s="26">
        <v>83709</v>
      </c>
    </row>
    <row r="85" hidden="1" spans="1:42">
      <c r="A85" s="1"/>
      <c r="B85" t="s">
        <v>231</v>
      </c>
      <c r="C85" t="s">
        <v>232</v>
      </c>
      <c r="D85" s="8" t="s">
        <v>233</v>
      </c>
      <c r="G85" s="1"/>
      <c r="H85" s="9"/>
      <c r="I85" s="13" t="s">
        <v>36</v>
      </c>
      <c r="N85" s="9"/>
      <c r="O85" s="13" t="s">
        <v>36</v>
      </c>
      <c r="P85" t="s">
        <v>234</v>
      </c>
      <c r="S85" t="e">
        <f t="shared" si="41"/>
        <v>#VALUE!</v>
      </c>
      <c r="X85">
        <f t="shared" si="45"/>
        <v>0</v>
      </c>
      <c r="Y85" t="e">
        <f t="shared" si="46"/>
        <v>#VALUE!</v>
      </c>
      <c r="AB85">
        <v>2022</v>
      </c>
      <c r="AC85" s="26">
        <v>425600</v>
      </c>
      <c r="AD85" t="s">
        <v>53</v>
      </c>
      <c r="AE85" t="s">
        <v>235</v>
      </c>
      <c r="AJ85" t="e">
        <f t="shared" si="47"/>
        <v>#VALUE!</v>
      </c>
      <c r="AN85" t="s">
        <v>36</v>
      </c>
      <c r="AO85" t="e">
        <f>AJ85*AK85</f>
        <v>#VALUE!</v>
      </c>
      <c r="AP85">
        <f t="shared" ref="AP85:AP93" si="48">AK85*AL85</f>
        <v>0</v>
      </c>
    </row>
    <row r="86" hidden="1" spans="1:42">
      <c r="A86" s="1"/>
      <c r="B86" s="3" t="s">
        <v>236</v>
      </c>
      <c r="C86" s="3" t="s">
        <v>237</v>
      </c>
      <c r="D86" s="3" t="s">
        <v>237</v>
      </c>
      <c r="E86" s="3"/>
      <c r="F86" s="12">
        <v>0.028</v>
      </c>
      <c r="G86" s="1"/>
      <c r="H86" s="9"/>
      <c r="I86" s="13" t="s">
        <v>36</v>
      </c>
      <c r="N86" s="3"/>
      <c r="O86" s="3" t="s">
        <v>36</v>
      </c>
      <c r="P86" t="s">
        <v>238</v>
      </c>
      <c r="S86" t="e">
        <f t="shared" si="41"/>
        <v>#VALUE!</v>
      </c>
      <c r="X86">
        <f t="shared" si="45"/>
        <v>0</v>
      </c>
      <c r="Y86" t="e">
        <f t="shared" si="46"/>
        <v>#VALUE!</v>
      </c>
      <c r="AA86" s="31">
        <v>0.3575</v>
      </c>
      <c r="AB86">
        <v>2022</v>
      </c>
      <c r="AC86" s="26">
        <v>425600</v>
      </c>
      <c r="AD86" s="3" t="s">
        <v>36</v>
      </c>
      <c r="AE86" s="3" t="s">
        <v>239</v>
      </c>
      <c r="AJ86" t="e">
        <f t="shared" si="47"/>
        <v>#VALUE!</v>
      </c>
      <c r="AN86" t="s">
        <v>36</v>
      </c>
      <c r="AO86">
        <v>3974</v>
      </c>
      <c r="AP86">
        <v>3974</v>
      </c>
    </row>
    <row r="87" hidden="1" spans="1:42">
      <c r="A87" s="1"/>
      <c r="B87" t="s">
        <v>240</v>
      </c>
      <c r="C87" t="s">
        <v>241</v>
      </c>
      <c r="D87" t="s">
        <v>242</v>
      </c>
      <c r="G87" s="1"/>
      <c r="H87" s="9"/>
      <c r="I87" s="13" t="s">
        <v>36</v>
      </c>
      <c r="S87">
        <f t="shared" si="41"/>
        <v>0</v>
      </c>
      <c r="X87">
        <f t="shared" si="45"/>
        <v>0</v>
      </c>
      <c r="Y87" t="e">
        <f t="shared" si="46"/>
        <v>#DIV/0!</v>
      </c>
      <c r="AB87">
        <v>2022</v>
      </c>
      <c r="AC87" s="26">
        <v>425600</v>
      </c>
      <c r="AJ87" t="e">
        <f t="shared" si="47"/>
        <v>#DIV/0!</v>
      </c>
      <c r="AN87" t="s">
        <v>36</v>
      </c>
      <c r="AO87" t="e">
        <f t="shared" ref="AO87:AO93" si="49">AJ87*AK87</f>
        <v>#DIV/0!</v>
      </c>
      <c r="AP87">
        <f t="shared" si="48"/>
        <v>0</v>
      </c>
    </row>
    <row r="88" hidden="1" spans="1:42">
      <c r="A88" s="1"/>
      <c r="B88" t="s">
        <v>243</v>
      </c>
      <c r="C88" t="s">
        <v>244</v>
      </c>
      <c r="D88" t="s">
        <v>242</v>
      </c>
      <c r="G88" s="1"/>
      <c r="H88" s="9"/>
      <c r="I88" s="13" t="s">
        <v>36</v>
      </c>
      <c r="S88">
        <f t="shared" si="41"/>
        <v>0</v>
      </c>
      <c r="X88">
        <f t="shared" si="45"/>
        <v>0</v>
      </c>
      <c r="Y88" t="e">
        <f t="shared" si="46"/>
        <v>#DIV/0!</v>
      </c>
      <c r="AB88">
        <v>2022</v>
      </c>
      <c r="AC88" s="26">
        <v>425600</v>
      </c>
      <c r="AJ88" t="e">
        <f t="shared" si="47"/>
        <v>#DIV/0!</v>
      </c>
      <c r="AN88" t="s">
        <v>36</v>
      </c>
      <c r="AO88" t="e">
        <f t="shared" si="49"/>
        <v>#DIV/0!</v>
      </c>
      <c r="AP88">
        <f t="shared" si="48"/>
        <v>0</v>
      </c>
    </row>
    <row r="89" hidden="1" spans="1:42">
      <c r="A89" s="1"/>
      <c r="B89" t="s">
        <v>245</v>
      </c>
      <c r="C89" t="s">
        <v>246</v>
      </c>
      <c r="D89" t="s">
        <v>242</v>
      </c>
      <c r="G89" s="1"/>
      <c r="H89" s="9"/>
      <c r="I89" s="13" t="s">
        <v>36</v>
      </c>
      <c r="S89">
        <f t="shared" si="41"/>
        <v>0</v>
      </c>
      <c r="X89">
        <f t="shared" si="45"/>
        <v>0</v>
      </c>
      <c r="Y89" t="e">
        <f t="shared" si="46"/>
        <v>#DIV/0!</v>
      </c>
      <c r="AB89">
        <v>2022</v>
      </c>
      <c r="AC89" s="26">
        <v>425600</v>
      </c>
      <c r="AJ89" t="e">
        <f t="shared" si="47"/>
        <v>#DIV/0!</v>
      </c>
      <c r="AN89" t="s">
        <v>36</v>
      </c>
      <c r="AO89" t="e">
        <f t="shared" si="49"/>
        <v>#DIV/0!</v>
      </c>
      <c r="AP89">
        <f t="shared" si="48"/>
        <v>0</v>
      </c>
    </row>
    <row r="90" hidden="1" spans="1:42">
      <c r="A90" s="1"/>
      <c r="B90" t="s">
        <v>247</v>
      </c>
      <c r="C90" t="s">
        <v>248</v>
      </c>
      <c r="D90" t="s">
        <v>242</v>
      </c>
      <c r="G90" s="1"/>
      <c r="H90" s="9"/>
      <c r="I90" s="13" t="s">
        <v>36</v>
      </c>
      <c r="S90">
        <f t="shared" si="41"/>
        <v>0</v>
      </c>
      <c r="X90">
        <f t="shared" si="45"/>
        <v>0</v>
      </c>
      <c r="Y90" t="e">
        <f t="shared" si="46"/>
        <v>#DIV/0!</v>
      </c>
      <c r="AB90">
        <v>2022</v>
      </c>
      <c r="AC90" s="26">
        <v>425600</v>
      </c>
      <c r="AJ90" t="e">
        <f t="shared" si="47"/>
        <v>#DIV/0!</v>
      </c>
      <c r="AN90" t="s">
        <v>36</v>
      </c>
      <c r="AO90" t="e">
        <f t="shared" si="49"/>
        <v>#DIV/0!</v>
      </c>
      <c r="AP90">
        <f t="shared" si="48"/>
        <v>0</v>
      </c>
    </row>
    <row r="91" hidden="1" spans="1:42">
      <c r="A91" s="1"/>
      <c r="B91" t="s">
        <v>249</v>
      </c>
      <c r="C91" t="s">
        <v>250</v>
      </c>
      <c r="D91" t="s">
        <v>251</v>
      </c>
      <c r="G91" s="1"/>
      <c r="H91" s="9"/>
      <c r="I91" s="13" t="s">
        <v>36</v>
      </c>
      <c r="S91">
        <f t="shared" si="41"/>
        <v>0</v>
      </c>
      <c r="X91">
        <f t="shared" si="45"/>
        <v>0</v>
      </c>
      <c r="Y91" t="e">
        <f t="shared" si="46"/>
        <v>#DIV/0!</v>
      </c>
      <c r="AB91">
        <v>2022</v>
      </c>
      <c r="AC91" s="26">
        <v>425600</v>
      </c>
      <c r="AJ91" t="e">
        <f t="shared" si="47"/>
        <v>#DIV/0!</v>
      </c>
      <c r="AN91" t="s">
        <v>36</v>
      </c>
      <c r="AO91" t="e">
        <f t="shared" si="49"/>
        <v>#DIV/0!</v>
      </c>
      <c r="AP91">
        <f t="shared" si="48"/>
        <v>0</v>
      </c>
    </row>
    <row r="92" hidden="1" spans="1:42">
      <c r="A92" s="1"/>
      <c r="B92" t="s">
        <v>252</v>
      </c>
      <c r="C92" t="s">
        <v>253</v>
      </c>
      <c r="D92" t="s">
        <v>251</v>
      </c>
      <c r="G92" s="1"/>
      <c r="H92" s="9"/>
      <c r="I92" s="13" t="s">
        <v>36</v>
      </c>
      <c r="S92">
        <f t="shared" si="41"/>
        <v>0</v>
      </c>
      <c r="X92">
        <f t="shared" si="45"/>
        <v>0</v>
      </c>
      <c r="Y92" t="e">
        <f t="shared" si="46"/>
        <v>#DIV/0!</v>
      </c>
      <c r="AB92">
        <v>2022</v>
      </c>
      <c r="AC92" s="26">
        <v>425600</v>
      </c>
      <c r="AJ92" t="e">
        <f t="shared" si="47"/>
        <v>#DIV/0!</v>
      </c>
      <c r="AN92" t="s">
        <v>36</v>
      </c>
      <c r="AO92" t="e">
        <f t="shared" si="49"/>
        <v>#DIV/0!</v>
      </c>
      <c r="AP92">
        <f t="shared" si="48"/>
        <v>0</v>
      </c>
    </row>
    <row r="93" hidden="1" spans="1:42">
      <c r="A93" s="1"/>
      <c r="B93" t="s">
        <v>254</v>
      </c>
      <c r="C93" t="s">
        <v>255</v>
      </c>
      <c r="D93" t="s">
        <v>251</v>
      </c>
      <c r="G93" s="1"/>
      <c r="H93" s="9"/>
      <c r="I93" s="13" t="s">
        <v>36</v>
      </c>
      <c r="S93">
        <f t="shared" si="41"/>
        <v>0</v>
      </c>
      <c r="X93">
        <f t="shared" si="45"/>
        <v>0</v>
      </c>
      <c r="Y93" t="e">
        <f t="shared" si="46"/>
        <v>#DIV/0!</v>
      </c>
      <c r="AB93">
        <v>2022</v>
      </c>
      <c r="AC93" s="26">
        <v>425600</v>
      </c>
      <c r="AJ93" t="e">
        <f t="shared" si="47"/>
        <v>#DIV/0!</v>
      </c>
      <c r="AN93" t="s">
        <v>36</v>
      </c>
      <c r="AO93" t="e">
        <f t="shared" si="49"/>
        <v>#DIV/0!</v>
      </c>
      <c r="AP93">
        <f t="shared" si="48"/>
        <v>0</v>
      </c>
    </row>
    <row r="94" hidden="1" spans="1:42">
      <c r="A94" s="1"/>
      <c r="B94" t="s">
        <v>256</v>
      </c>
      <c r="C94" t="s">
        <v>257</v>
      </c>
      <c r="D94" t="s">
        <v>251</v>
      </c>
      <c r="G94" s="1"/>
      <c r="H94" s="9"/>
      <c r="I94" s="13" t="s">
        <v>36</v>
      </c>
      <c r="S94">
        <f t="shared" si="41"/>
        <v>0</v>
      </c>
      <c r="X94">
        <f t="shared" si="45"/>
        <v>0</v>
      </c>
      <c r="Y94" t="e">
        <f t="shared" si="46"/>
        <v>#DIV/0!</v>
      </c>
      <c r="AB94">
        <v>2022</v>
      </c>
      <c r="AC94" s="26">
        <v>425600</v>
      </c>
      <c r="AJ94" t="e">
        <f t="shared" si="47"/>
        <v>#DIV/0!</v>
      </c>
      <c r="AN94" t="s">
        <v>36</v>
      </c>
      <c r="AO94" s="26">
        <v>2401</v>
      </c>
      <c r="AP94" s="26">
        <v>2401</v>
      </c>
    </row>
    <row r="95" hidden="1" spans="1:42">
      <c r="A95" s="1"/>
      <c r="B95" t="s">
        <v>258</v>
      </c>
      <c r="C95" t="s">
        <v>259</v>
      </c>
      <c r="D95" t="s">
        <v>260</v>
      </c>
      <c r="G95" s="1"/>
      <c r="H95" s="9"/>
      <c r="I95" s="13" t="s">
        <v>36</v>
      </c>
      <c r="S95">
        <f t="shared" si="41"/>
        <v>0</v>
      </c>
      <c r="X95">
        <f t="shared" si="45"/>
        <v>0</v>
      </c>
      <c r="Y95" t="e">
        <f t="shared" si="46"/>
        <v>#DIV/0!</v>
      </c>
      <c r="AB95">
        <v>2022</v>
      </c>
      <c r="AC95" s="26">
        <v>425600</v>
      </c>
      <c r="AJ95" t="e">
        <f t="shared" si="47"/>
        <v>#DIV/0!</v>
      </c>
      <c r="AN95" t="s">
        <v>36</v>
      </c>
      <c r="AO95">
        <v>8129</v>
      </c>
      <c r="AP95">
        <v>8129</v>
      </c>
    </row>
    <row r="96" hidden="1" spans="1:42">
      <c r="A96" s="1"/>
      <c r="B96" t="s">
        <v>261</v>
      </c>
      <c r="C96" t="s">
        <v>262</v>
      </c>
      <c r="D96" s="8" t="s">
        <v>263</v>
      </c>
      <c r="G96" s="1"/>
      <c r="H96" s="9"/>
      <c r="I96" s="13" t="s">
        <v>36</v>
      </c>
      <c r="N96" s="9"/>
      <c r="O96" s="13" t="s">
        <v>53</v>
      </c>
      <c r="S96">
        <f t="shared" si="41"/>
        <v>0</v>
      </c>
      <c r="X96">
        <f t="shared" si="45"/>
        <v>0</v>
      </c>
      <c r="Y96" t="e">
        <f t="shared" si="46"/>
        <v>#DIV/0!</v>
      </c>
      <c r="AB96">
        <v>2022</v>
      </c>
      <c r="AC96" s="26">
        <v>425600</v>
      </c>
      <c r="AJ96" t="e">
        <f t="shared" si="47"/>
        <v>#DIV/0!</v>
      </c>
      <c r="AN96" t="s">
        <v>36</v>
      </c>
      <c r="AO96" t="e">
        <f t="shared" ref="AO96:AO103" si="50">AJ96*AK96</f>
        <v>#DIV/0!</v>
      </c>
      <c r="AP96">
        <f t="shared" ref="AP96:AP103" si="51">AK96*AL96</f>
        <v>0</v>
      </c>
    </row>
    <row r="97" hidden="1" spans="1:42">
      <c r="A97" s="1"/>
      <c r="B97" t="s">
        <v>264</v>
      </c>
      <c r="C97" t="s">
        <v>265</v>
      </c>
      <c r="D97" s="8" t="s">
        <v>263</v>
      </c>
      <c r="G97" s="1"/>
      <c r="H97" s="9"/>
      <c r="I97" s="13" t="s">
        <v>36</v>
      </c>
      <c r="N97" s="9"/>
      <c r="O97" s="13" t="s">
        <v>53</v>
      </c>
      <c r="S97">
        <f t="shared" si="41"/>
        <v>0</v>
      </c>
      <c r="X97">
        <f t="shared" si="45"/>
        <v>0</v>
      </c>
      <c r="Y97" t="e">
        <f t="shared" si="46"/>
        <v>#DIV/0!</v>
      </c>
      <c r="AB97">
        <v>2022</v>
      </c>
      <c r="AC97" s="26">
        <v>425600</v>
      </c>
      <c r="AJ97" t="e">
        <f t="shared" si="47"/>
        <v>#DIV/0!</v>
      </c>
      <c r="AN97" t="s">
        <v>36</v>
      </c>
      <c r="AO97" t="e">
        <f t="shared" si="50"/>
        <v>#DIV/0!</v>
      </c>
      <c r="AP97">
        <f t="shared" si="51"/>
        <v>0</v>
      </c>
    </row>
    <row r="98" hidden="1" spans="1:42">
      <c r="A98" s="1"/>
      <c r="B98" t="s">
        <v>266</v>
      </c>
      <c r="C98" t="s">
        <v>267</v>
      </c>
      <c r="D98" t="s">
        <v>268</v>
      </c>
      <c r="G98" s="1"/>
      <c r="H98" s="9"/>
      <c r="I98" s="13" t="s">
        <v>36</v>
      </c>
      <c r="N98" s="9"/>
      <c r="O98" s="13" t="s">
        <v>53</v>
      </c>
      <c r="S98">
        <f t="shared" si="41"/>
        <v>0</v>
      </c>
      <c r="X98">
        <f t="shared" si="45"/>
        <v>0</v>
      </c>
      <c r="Y98" t="e">
        <f t="shared" si="46"/>
        <v>#DIV/0!</v>
      </c>
      <c r="AB98">
        <v>2022</v>
      </c>
      <c r="AC98" s="26">
        <v>425600</v>
      </c>
      <c r="AJ98" t="e">
        <f t="shared" si="47"/>
        <v>#DIV/0!</v>
      </c>
      <c r="AN98" t="s">
        <v>36</v>
      </c>
      <c r="AO98" t="e">
        <f t="shared" si="50"/>
        <v>#DIV/0!</v>
      </c>
      <c r="AP98">
        <f t="shared" si="51"/>
        <v>0</v>
      </c>
    </row>
    <row r="99" hidden="1" spans="1:42">
      <c r="A99" s="1"/>
      <c r="B99" t="s">
        <v>269</v>
      </c>
      <c r="C99" t="s">
        <v>270</v>
      </c>
      <c r="D99" t="s">
        <v>268</v>
      </c>
      <c r="G99" s="1"/>
      <c r="H99" s="9"/>
      <c r="I99" s="13" t="s">
        <v>36</v>
      </c>
      <c r="N99" s="9"/>
      <c r="O99" s="13" t="s">
        <v>53</v>
      </c>
      <c r="S99">
        <f t="shared" ref="S99:S162" si="52">(P99*3+M99*2+J99*1)/6</f>
        <v>0</v>
      </c>
      <c r="X99">
        <f t="shared" si="45"/>
        <v>0</v>
      </c>
      <c r="Y99" t="e">
        <f t="shared" si="46"/>
        <v>#DIV/0!</v>
      </c>
      <c r="AB99">
        <v>2022</v>
      </c>
      <c r="AC99" s="26">
        <v>425600</v>
      </c>
      <c r="AJ99" t="e">
        <f t="shared" si="47"/>
        <v>#DIV/0!</v>
      </c>
      <c r="AN99" t="s">
        <v>36</v>
      </c>
      <c r="AO99" t="e">
        <f t="shared" si="50"/>
        <v>#DIV/0!</v>
      </c>
      <c r="AP99">
        <f t="shared" si="51"/>
        <v>0</v>
      </c>
    </row>
    <row r="100" hidden="1" spans="1:42">
      <c r="A100" s="1"/>
      <c r="B100" t="s">
        <v>271</v>
      </c>
      <c r="C100" t="s">
        <v>272</v>
      </c>
      <c r="D100" t="s">
        <v>268</v>
      </c>
      <c r="G100" s="1"/>
      <c r="H100" s="9"/>
      <c r="I100" s="13" t="s">
        <v>36</v>
      </c>
      <c r="N100" s="9"/>
      <c r="O100" s="13" t="s">
        <v>53</v>
      </c>
      <c r="S100">
        <f t="shared" si="52"/>
        <v>0</v>
      </c>
      <c r="X100">
        <f t="shared" si="45"/>
        <v>0</v>
      </c>
      <c r="Y100" t="e">
        <f t="shared" si="46"/>
        <v>#DIV/0!</v>
      </c>
      <c r="AB100">
        <v>2022</v>
      </c>
      <c r="AC100" s="26">
        <v>425600</v>
      </c>
      <c r="AJ100" t="e">
        <f t="shared" si="47"/>
        <v>#DIV/0!</v>
      </c>
      <c r="AN100" t="s">
        <v>36</v>
      </c>
      <c r="AO100" t="e">
        <f t="shared" si="50"/>
        <v>#DIV/0!</v>
      </c>
      <c r="AP100">
        <f t="shared" si="51"/>
        <v>0</v>
      </c>
    </row>
    <row r="101" hidden="1" spans="1:42">
      <c r="A101" s="1"/>
      <c r="B101" t="s">
        <v>273</v>
      </c>
      <c r="C101" t="s">
        <v>274</v>
      </c>
      <c r="D101" s="8" t="s">
        <v>275</v>
      </c>
      <c r="G101" s="1"/>
      <c r="H101" s="9"/>
      <c r="I101" s="13" t="s">
        <v>36</v>
      </c>
      <c r="N101" s="9"/>
      <c r="O101" s="13" t="s">
        <v>36</v>
      </c>
      <c r="S101">
        <f t="shared" si="52"/>
        <v>0</v>
      </c>
      <c r="X101">
        <f t="shared" si="45"/>
        <v>0</v>
      </c>
      <c r="Y101" t="e">
        <f t="shared" si="46"/>
        <v>#DIV/0!</v>
      </c>
      <c r="Z101" s="31">
        <v>-1.4167</v>
      </c>
      <c r="AB101">
        <v>2022</v>
      </c>
      <c r="AC101" s="26">
        <v>425600</v>
      </c>
      <c r="AJ101" t="e">
        <f t="shared" si="47"/>
        <v>#DIV/0!</v>
      </c>
      <c r="AN101" t="s">
        <v>36</v>
      </c>
      <c r="AO101" t="e">
        <f t="shared" si="50"/>
        <v>#DIV/0!</v>
      </c>
      <c r="AP101">
        <f t="shared" si="51"/>
        <v>0</v>
      </c>
    </row>
    <row r="102" hidden="1" spans="1:42">
      <c r="A102" s="1"/>
      <c r="B102" t="s">
        <v>276</v>
      </c>
      <c r="C102" t="s">
        <v>277</v>
      </c>
      <c r="D102" s="8" t="s">
        <v>275</v>
      </c>
      <c r="G102" s="1"/>
      <c r="H102" s="9"/>
      <c r="I102" s="13" t="s">
        <v>36</v>
      </c>
      <c r="N102" s="9"/>
      <c r="O102" s="13" t="s">
        <v>36</v>
      </c>
      <c r="S102">
        <f t="shared" si="52"/>
        <v>0</v>
      </c>
      <c r="X102">
        <f t="shared" si="45"/>
        <v>0</v>
      </c>
      <c r="Y102" t="e">
        <f t="shared" si="46"/>
        <v>#DIV/0!</v>
      </c>
      <c r="Z102" s="31">
        <v>-1.4167</v>
      </c>
      <c r="AB102">
        <v>2022</v>
      </c>
      <c r="AC102" s="26">
        <v>425600</v>
      </c>
      <c r="AJ102" t="e">
        <f t="shared" si="47"/>
        <v>#DIV/0!</v>
      </c>
      <c r="AN102" t="s">
        <v>36</v>
      </c>
      <c r="AO102" t="e">
        <f t="shared" si="50"/>
        <v>#DIV/0!</v>
      </c>
      <c r="AP102">
        <f t="shared" si="51"/>
        <v>0</v>
      </c>
    </row>
    <row r="103" hidden="1" spans="1:42">
      <c r="A103" s="1"/>
      <c r="B103" t="s">
        <v>278</v>
      </c>
      <c r="C103" t="s">
        <v>279</v>
      </c>
      <c r="D103" s="8" t="s">
        <v>280</v>
      </c>
      <c r="G103" s="1"/>
      <c r="H103" s="9"/>
      <c r="I103" s="13" t="s">
        <v>36</v>
      </c>
      <c r="N103" s="9"/>
      <c r="O103" s="13" t="s">
        <v>36</v>
      </c>
      <c r="S103">
        <f t="shared" si="52"/>
        <v>0</v>
      </c>
      <c r="X103">
        <f t="shared" si="45"/>
        <v>0</v>
      </c>
      <c r="Y103" t="e">
        <f t="shared" si="46"/>
        <v>#DIV/0!</v>
      </c>
      <c r="Z103" s="31">
        <v>1.3333</v>
      </c>
      <c r="AA103" t="s">
        <v>281</v>
      </c>
      <c r="AB103">
        <v>2022</v>
      </c>
      <c r="AC103" s="26">
        <v>425600</v>
      </c>
      <c r="AD103" t="s">
        <v>36</v>
      </c>
      <c r="AE103" t="s">
        <v>282</v>
      </c>
      <c r="AJ103" t="e">
        <f t="shared" si="47"/>
        <v>#DIV/0!</v>
      </c>
      <c r="AN103" t="s">
        <v>36</v>
      </c>
      <c r="AO103" t="e">
        <f t="shared" si="50"/>
        <v>#DIV/0!</v>
      </c>
      <c r="AP103">
        <f t="shared" si="51"/>
        <v>0</v>
      </c>
    </row>
    <row r="104" hidden="1" spans="1:42">
      <c r="A104" s="1"/>
      <c r="B104" t="s">
        <v>283</v>
      </c>
      <c r="C104" t="s">
        <v>284</v>
      </c>
      <c r="D104" s="8" t="s">
        <v>280</v>
      </c>
      <c r="G104" s="1"/>
      <c r="H104" s="9"/>
      <c r="I104" s="13" t="s">
        <v>36</v>
      </c>
      <c r="N104" s="9"/>
      <c r="O104" s="13" t="s">
        <v>36</v>
      </c>
      <c r="S104">
        <f t="shared" si="52"/>
        <v>0</v>
      </c>
      <c r="X104">
        <f t="shared" si="45"/>
        <v>0</v>
      </c>
      <c r="Y104" t="e">
        <f t="shared" si="46"/>
        <v>#DIV/0!</v>
      </c>
      <c r="Z104" s="31">
        <v>1.3333</v>
      </c>
      <c r="AA104" t="s">
        <v>281</v>
      </c>
      <c r="AB104">
        <v>2022</v>
      </c>
      <c r="AC104" s="26">
        <v>425600</v>
      </c>
      <c r="AD104" t="s">
        <v>36</v>
      </c>
      <c r="AE104" t="s">
        <v>282</v>
      </c>
      <c r="AJ104" t="e">
        <f t="shared" si="47"/>
        <v>#DIV/0!</v>
      </c>
      <c r="AN104" t="s">
        <v>36</v>
      </c>
      <c r="AO104">
        <v>8129</v>
      </c>
      <c r="AP104">
        <v>8129</v>
      </c>
    </row>
    <row r="105" hidden="1" spans="1:42">
      <c r="A105" s="1"/>
      <c r="B105" t="s">
        <v>285</v>
      </c>
      <c r="C105" t="s">
        <v>286</v>
      </c>
      <c r="D105" s="8" t="s">
        <v>280</v>
      </c>
      <c r="F105" s="31">
        <v>0.003</v>
      </c>
      <c r="G105" s="1"/>
      <c r="H105" s="9"/>
      <c r="I105" s="13" t="s">
        <v>36</v>
      </c>
      <c r="N105" s="9"/>
      <c r="O105" s="13" t="s">
        <v>36</v>
      </c>
      <c r="S105">
        <f t="shared" si="52"/>
        <v>0</v>
      </c>
      <c r="X105">
        <f t="shared" si="45"/>
        <v>0</v>
      </c>
      <c r="Y105" t="e">
        <f t="shared" si="46"/>
        <v>#DIV/0!</v>
      </c>
      <c r="Z105" s="31">
        <v>1.3333</v>
      </c>
      <c r="AA105">
        <v>0.003</v>
      </c>
      <c r="AB105">
        <v>2022</v>
      </c>
      <c r="AC105" s="26">
        <v>425600</v>
      </c>
      <c r="AD105" t="s">
        <v>36</v>
      </c>
      <c r="AE105" t="s">
        <v>282</v>
      </c>
      <c r="AJ105" t="e">
        <f t="shared" si="47"/>
        <v>#DIV/0!</v>
      </c>
      <c r="AN105" t="s">
        <v>36</v>
      </c>
      <c r="AO105" t="e">
        <f t="shared" ref="AO105:AO117" si="53">AJ105*AK105</f>
        <v>#DIV/0!</v>
      </c>
      <c r="AP105">
        <f t="shared" ref="AP105:AP117" si="54">AK105*AL105</f>
        <v>0</v>
      </c>
    </row>
    <row r="106" hidden="1" spans="1:42">
      <c r="A106" s="1"/>
      <c r="B106" t="s">
        <v>287</v>
      </c>
      <c r="C106" t="s">
        <v>288</v>
      </c>
      <c r="D106" t="s">
        <v>289</v>
      </c>
      <c r="G106" s="1"/>
      <c r="H106" s="9"/>
      <c r="I106" s="13" t="s">
        <v>36</v>
      </c>
      <c r="S106">
        <f t="shared" si="52"/>
        <v>0</v>
      </c>
      <c r="X106">
        <f t="shared" si="45"/>
        <v>0</v>
      </c>
      <c r="Y106" t="e">
        <f t="shared" si="46"/>
        <v>#DIV/0!</v>
      </c>
      <c r="AB106">
        <v>2022</v>
      </c>
      <c r="AC106" s="26">
        <v>425600</v>
      </c>
      <c r="AJ106" t="e">
        <f t="shared" si="47"/>
        <v>#DIV/0!</v>
      </c>
      <c r="AN106" t="s">
        <v>36</v>
      </c>
      <c r="AO106" t="e">
        <f t="shared" si="53"/>
        <v>#DIV/0!</v>
      </c>
      <c r="AP106">
        <f t="shared" si="54"/>
        <v>0</v>
      </c>
    </row>
    <row r="107" hidden="1" spans="1:42">
      <c r="A107" s="1"/>
      <c r="B107" t="s">
        <v>290</v>
      </c>
      <c r="C107" t="s">
        <v>291</v>
      </c>
      <c r="D107" s="8" t="s">
        <v>292</v>
      </c>
      <c r="G107" s="1"/>
      <c r="H107" s="9"/>
      <c r="I107" s="13" t="s">
        <v>36</v>
      </c>
      <c r="N107" s="9"/>
      <c r="O107" s="13" t="s">
        <v>53</v>
      </c>
      <c r="S107">
        <f t="shared" si="52"/>
        <v>0</v>
      </c>
      <c r="X107">
        <f t="shared" si="45"/>
        <v>0</v>
      </c>
      <c r="Y107" t="e">
        <f t="shared" si="46"/>
        <v>#DIV/0!</v>
      </c>
      <c r="AB107">
        <v>2022</v>
      </c>
      <c r="AC107" s="26">
        <v>425600</v>
      </c>
      <c r="AJ107" t="e">
        <f t="shared" si="47"/>
        <v>#DIV/0!</v>
      </c>
      <c r="AN107" t="s">
        <v>36</v>
      </c>
      <c r="AO107" t="e">
        <f t="shared" si="53"/>
        <v>#DIV/0!</v>
      </c>
      <c r="AP107">
        <f t="shared" si="54"/>
        <v>0</v>
      </c>
    </row>
    <row r="108" hidden="1" spans="1:42">
      <c r="A108" s="1"/>
      <c r="B108" t="s">
        <v>293</v>
      </c>
      <c r="C108" t="s">
        <v>294</v>
      </c>
      <c r="D108" t="s">
        <v>295</v>
      </c>
      <c r="G108" s="1"/>
      <c r="H108" s="9"/>
      <c r="I108" s="13" t="s">
        <v>36</v>
      </c>
      <c r="S108">
        <f t="shared" si="52"/>
        <v>0</v>
      </c>
      <c r="X108">
        <f t="shared" si="45"/>
        <v>0</v>
      </c>
      <c r="Y108" t="e">
        <f t="shared" si="46"/>
        <v>#DIV/0!</v>
      </c>
      <c r="AB108">
        <v>2022</v>
      </c>
      <c r="AC108" s="26">
        <v>425600</v>
      </c>
      <c r="AJ108" t="e">
        <f t="shared" si="47"/>
        <v>#DIV/0!</v>
      </c>
      <c r="AN108" t="s">
        <v>36</v>
      </c>
      <c r="AO108" t="e">
        <f t="shared" si="53"/>
        <v>#DIV/0!</v>
      </c>
      <c r="AP108">
        <f t="shared" si="54"/>
        <v>0</v>
      </c>
    </row>
    <row r="109" hidden="1" spans="1:42">
      <c r="A109" s="1"/>
      <c r="B109" t="s">
        <v>296</v>
      </c>
      <c r="C109" t="s">
        <v>297</v>
      </c>
      <c r="D109" t="s">
        <v>295</v>
      </c>
      <c r="G109" s="1"/>
      <c r="H109" s="9"/>
      <c r="I109" s="13" t="s">
        <v>36</v>
      </c>
      <c r="S109">
        <f t="shared" si="52"/>
        <v>0</v>
      </c>
      <c r="X109">
        <f t="shared" si="45"/>
        <v>0</v>
      </c>
      <c r="Y109" t="e">
        <f t="shared" si="46"/>
        <v>#DIV/0!</v>
      </c>
      <c r="AB109">
        <v>2022</v>
      </c>
      <c r="AC109" s="26">
        <v>425600</v>
      </c>
      <c r="AJ109" t="e">
        <f t="shared" si="47"/>
        <v>#DIV/0!</v>
      </c>
      <c r="AN109" t="s">
        <v>36</v>
      </c>
      <c r="AO109" t="e">
        <f t="shared" si="53"/>
        <v>#DIV/0!</v>
      </c>
      <c r="AP109">
        <f t="shared" si="54"/>
        <v>0</v>
      </c>
    </row>
    <row r="110" hidden="1" spans="1:42">
      <c r="A110" s="1"/>
      <c r="B110" t="s">
        <v>298</v>
      </c>
      <c r="C110" t="s">
        <v>299</v>
      </c>
      <c r="D110" t="s">
        <v>300</v>
      </c>
      <c r="G110" s="1"/>
      <c r="H110" s="9"/>
      <c r="I110" s="13" t="s">
        <v>36</v>
      </c>
      <c r="N110" s="9"/>
      <c r="O110" s="13" t="s">
        <v>53</v>
      </c>
      <c r="S110">
        <f t="shared" si="52"/>
        <v>0</v>
      </c>
      <c r="X110">
        <f t="shared" si="45"/>
        <v>0</v>
      </c>
      <c r="Y110" t="e">
        <f t="shared" si="46"/>
        <v>#DIV/0!</v>
      </c>
      <c r="AB110">
        <v>2022</v>
      </c>
      <c r="AC110" s="26">
        <v>425600</v>
      </c>
      <c r="AJ110" t="e">
        <f t="shared" si="47"/>
        <v>#DIV/0!</v>
      </c>
      <c r="AN110" t="s">
        <v>36</v>
      </c>
      <c r="AO110" t="e">
        <f t="shared" si="53"/>
        <v>#DIV/0!</v>
      </c>
      <c r="AP110">
        <f t="shared" si="54"/>
        <v>0</v>
      </c>
    </row>
    <row r="111" hidden="1" spans="1:42">
      <c r="A111" s="1"/>
      <c r="B111" t="s">
        <v>301</v>
      </c>
      <c r="C111" t="s">
        <v>302</v>
      </c>
      <c r="D111" t="s">
        <v>300</v>
      </c>
      <c r="G111" s="1"/>
      <c r="H111" s="9"/>
      <c r="I111" s="13" t="s">
        <v>36</v>
      </c>
      <c r="N111" s="9"/>
      <c r="O111" s="13" t="s">
        <v>53</v>
      </c>
      <c r="S111">
        <f t="shared" si="52"/>
        <v>0</v>
      </c>
      <c r="X111">
        <f t="shared" si="45"/>
        <v>0</v>
      </c>
      <c r="Y111" t="e">
        <f t="shared" si="46"/>
        <v>#DIV/0!</v>
      </c>
      <c r="AB111">
        <v>2022</v>
      </c>
      <c r="AC111" s="26">
        <v>425600</v>
      </c>
      <c r="AJ111" t="e">
        <f t="shared" si="47"/>
        <v>#DIV/0!</v>
      </c>
      <c r="AN111" t="s">
        <v>36</v>
      </c>
      <c r="AO111" t="e">
        <f t="shared" si="53"/>
        <v>#DIV/0!</v>
      </c>
      <c r="AP111">
        <f t="shared" si="54"/>
        <v>0</v>
      </c>
    </row>
    <row r="112" hidden="1" spans="1:42">
      <c r="A112" s="1"/>
      <c r="B112" t="s">
        <v>303</v>
      </c>
      <c r="C112" t="s">
        <v>304</v>
      </c>
      <c r="D112" t="s">
        <v>300</v>
      </c>
      <c r="G112" s="1"/>
      <c r="H112" s="9"/>
      <c r="I112" s="13" t="s">
        <v>36</v>
      </c>
      <c r="N112" s="9"/>
      <c r="O112" s="13" t="s">
        <v>53</v>
      </c>
      <c r="S112">
        <f t="shared" si="52"/>
        <v>0</v>
      </c>
      <c r="X112">
        <f t="shared" si="45"/>
        <v>0</v>
      </c>
      <c r="Y112" t="e">
        <f t="shared" si="46"/>
        <v>#DIV/0!</v>
      </c>
      <c r="AB112">
        <v>2022</v>
      </c>
      <c r="AC112" s="26">
        <v>425600</v>
      </c>
      <c r="AJ112" t="e">
        <f t="shared" si="47"/>
        <v>#DIV/0!</v>
      </c>
      <c r="AN112" t="s">
        <v>36</v>
      </c>
      <c r="AO112" t="e">
        <f t="shared" si="53"/>
        <v>#DIV/0!</v>
      </c>
      <c r="AP112">
        <f t="shared" si="54"/>
        <v>0</v>
      </c>
    </row>
    <row r="113" hidden="1" spans="1:42">
      <c r="A113" s="1"/>
      <c r="B113" t="s">
        <v>305</v>
      </c>
      <c r="C113" t="s">
        <v>306</v>
      </c>
      <c r="D113" t="s">
        <v>300</v>
      </c>
      <c r="G113" s="1"/>
      <c r="H113" s="9"/>
      <c r="I113" s="13" t="s">
        <v>36</v>
      </c>
      <c r="N113" s="9"/>
      <c r="O113" s="13" t="s">
        <v>53</v>
      </c>
      <c r="S113">
        <f t="shared" si="52"/>
        <v>0</v>
      </c>
      <c r="X113">
        <f t="shared" si="45"/>
        <v>0</v>
      </c>
      <c r="Y113" t="e">
        <f t="shared" si="46"/>
        <v>#DIV/0!</v>
      </c>
      <c r="AB113">
        <v>2022</v>
      </c>
      <c r="AC113" s="26">
        <v>425600</v>
      </c>
      <c r="AJ113" t="e">
        <f t="shared" si="47"/>
        <v>#DIV/0!</v>
      </c>
      <c r="AN113" t="s">
        <v>36</v>
      </c>
      <c r="AO113" t="e">
        <f t="shared" si="53"/>
        <v>#DIV/0!</v>
      </c>
      <c r="AP113">
        <f t="shared" si="54"/>
        <v>0</v>
      </c>
    </row>
    <row r="114" hidden="1" spans="1:42">
      <c r="A114" s="1"/>
      <c r="B114" t="s">
        <v>307</v>
      </c>
      <c r="C114" t="s">
        <v>308</v>
      </c>
      <c r="D114" t="s">
        <v>309</v>
      </c>
      <c r="G114" s="1"/>
      <c r="H114" s="9"/>
      <c r="I114" s="13" t="s">
        <v>36</v>
      </c>
      <c r="S114">
        <f t="shared" si="52"/>
        <v>0</v>
      </c>
      <c r="X114">
        <f t="shared" si="45"/>
        <v>0</v>
      </c>
      <c r="Y114" t="e">
        <f t="shared" si="46"/>
        <v>#DIV/0!</v>
      </c>
      <c r="AB114">
        <v>2022</v>
      </c>
      <c r="AC114" s="26">
        <v>425600</v>
      </c>
      <c r="AJ114" t="e">
        <f t="shared" si="47"/>
        <v>#DIV/0!</v>
      </c>
      <c r="AN114" t="s">
        <v>36</v>
      </c>
      <c r="AO114" t="e">
        <f t="shared" si="53"/>
        <v>#DIV/0!</v>
      </c>
      <c r="AP114">
        <f t="shared" si="54"/>
        <v>0</v>
      </c>
    </row>
    <row r="115" hidden="1" spans="1:42">
      <c r="A115" s="1"/>
      <c r="B115" t="s">
        <v>310</v>
      </c>
      <c r="C115" t="s">
        <v>311</v>
      </c>
      <c r="D115" t="s">
        <v>312</v>
      </c>
      <c r="G115" s="1"/>
      <c r="H115" s="9"/>
      <c r="I115" s="13" t="s">
        <v>36</v>
      </c>
      <c r="S115">
        <f t="shared" si="52"/>
        <v>0</v>
      </c>
      <c r="X115">
        <f t="shared" si="45"/>
        <v>0</v>
      </c>
      <c r="Y115" t="e">
        <f t="shared" si="46"/>
        <v>#DIV/0!</v>
      </c>
      <c r="AB115">
        <v>2022</v>
      </c>
      <c r="AC115" s="26">
        <v>425600</v>
      </c>
      <c r="AJ115" t="e">
        <f t="shared" si="47"/>
        <v>#DIV/0!</v>
      </c>
      <c r="AN115" t="s">
        <v>36</v>
      </c>
      <c r="AO115" t="e">
        <f t="shared" si="53"/>
        <v>#DIV/0!</v>
      </c>
      <c r="AP115">
        <f t="shared" si="54"/>
        <v>0</v>
      </c>
    </row>
    <row r="116" hidden="1" spans="1:42">
      <c r="A116" s="1"/>
      <c r="B116" t="s">
        <v>313</v>
      </c>
      <c r="C116" t="s">
        <v>314</v>
      </c>
      <c r="D116" t="s">
        <v>315</v>
      </c>
      <c r="G116" s="1"/>
      <c r="H116" s="9"/>
      <c r="I116" s="13" t="s">
        <v>36</v>
      </c>
      <c r="S116">
        <f t="shared" si="52"/>
        <v>0</v>
      </c>
      <c r="X116">
        <f t="shared" si="45"/>
        <v>0</v>
      </c>
      <c r="Y116" t="e">
        <f t="shared" si="46"/>
        <v>#DIV/0!</v>
      </c>
      <c r="AB116">
        <v>2022</v>
      </c>
      <c r="AC116" s="26">
        <v>425600</v>
      </c>
      <c r="AJ116" t="e">
        <f t="shared" si="47"/>
        <v>#DIV/0!</v>
      </c>
      <c r="AN116" t="s">
        <v>36</v>
      </c>
      <c r="AO116" t="e">
        <f t="shared" si="53"/>
        <v>#DIV/0!</v>
      </c>
      <c r="AP116">
        <f t="shared" si="54"/>
        <v>0</v>
      </c>
    </row>
    <row r="117" s="2" customFormat="1" hidden="1" spans="1:42">
      <c r="A117" s="1"/>
      <c r="B117" t="s">
        <v>316</v>
      </c>
      <c r="C117" t="s">
        <v>317</v>
      </c>
      <c r="D117" s="8" t="s">
        <v>318</v>
      </c>
      <c r="E117"/>
      <c r="F117"/>
      <c r="G117" s="1"/>
      <c r="H117" s="9"/>
      <c r="I117" s="13" t="s">
        <v>36</v>
      </c>
      <c r="J117"/>
      <c r="K117"/>
      <c r="L117"/>
      <c r="M117"/>
      <c r="N117" s="9"/>
      <c r="O117" s="13" t="s">
        <v>106</v>
      </c>
      <c r="P117"/>
      <c r="Q117"/>
      <c r="R117"/>
      <c r="S117">
        <f t="shared" si="52"/>
        <v>0</v>
      </c>
      <c r="T117"/>
      <c r="U117"/>
      <c r="V117"/>
      <c r="W117"/>
      <c r="X117">
        <f t="shared" si="45"/>
        <v>0</v>
      </c>
      <c r="Y117" t="e">
        <f t="shared" si="46"/>
        <v>#DIV/0!</v>
      </c>
      <c r="Z117"/>
      <c r="AA117"/>
      <c r="AB117">
        <v>2022</v>
      </c>
      <c r="AC117" s="26">
        <v>425600</v>
      </c>
      <c r="AD117" t="s">
        <v>106</v>
      </c>
      <c r="AE117" s="27" t="s">
        <v>319</v>
      </c>
      <c r="AF117"/>
      <c r="AG117"/>
      <c r="AH117"/>
      <c r="AI117"/>
      <c r="AJ117" t="e">
        <f t="shared" si="47"/>
        <v>#DIV/0!</v>
      </c>
      <c r="AK117"/>
      <c r="AL117"/>
      <c r="AM117"/>
      <c r="AN117" t="s">
        <v>36</v>
      </c>
      <c r="AO117" t="e">
        <f t="shared" si="53"/>
        <v>#DIV/0!</v>
      </c>
      <c r="AP117">
        <f t="shared" si="54"/>
        <v>0</v>
      </c>
    </row>
    <row r="118" s="2" customFormat="1" hidden="1" spans="1:42">
      <c r="A118" s="1"/>
      <c r="B118" t="s">
        <v>320</v>
      </c>
      <c r="C118" t="s">
        <v>321</v>
      </c>
      <c r="D118" t="s">
        <v>322</v>
      </c>
      <c r="E118"/>
      <c r="F118"/>
      <c r="G118" s="1"/>
      <c r="H118" s="9"/>
      <c r="I118" s="13" t="s">
        <v>36</v>
      </c>
      <c r="J118"/>
      <c r="K118"/>
      <c r="L118"/>
      <c r="M118"/>
      <c r="N118"/>
      <c r="O118"/>
      <c r="P118"/>
      <c r="Q118"/>
      <c r="R118"/>
      <c r="S118">
        <f t="shared" si="52"/>
        <v>0</v>
      </c>
      <c r="T118"/>
      <c r="U118"/>
      <c r="V118"/>
      <c r="W118"/>
      <c r="X118">
        <f t="shared" si="45"/>
        <v>0</v>
      </c>
      <c r="Y118" t="e">
        <f t="shared" si="46"/>
        <v>#DIV/0!</v>
      </c>
      <c r="Z118"/>
      <c r="AA118"/>
      <c r="AB118">
        <v>2022</v>
      </c>
      <c r="AC118" s="26">
        <v>425600</v>
      </c>
      <c r="AD118"/>
      <c r="AE118"/>
      <c r="AF118"/>
      <c r="AG118"/>
      <c r="AH118"/>
      <c r="AI118"/>
      <c r="AJ118" t="e">
        <f t="shared" si="47"/>
        <v>#DIV/0!</v>
      </c>
      <c r="AK118"/>
      <c r="AL118"/>
      <c r="AM118"/>
      <c r="AN118" t="s">
        <v>36</v>
      </c>
      <c r="AO118" s="26">
        <v>83709</v>
      </c>
      <c r="AP118" s="26">
        <v>83709</v>
      </c>
    </row>
    <row r="119" s="3" customFormat="1" hidden="1" spans="1:42">
      <c r="A119" s="1"/>
      <c r="B119" t="s">
        <v>323</v>
      </c>
      <c r="C119" t="s">
        <v>324</v>
      </c>
      <c r="D119" t="s">
        <v>322</v>
      </c>
      <c r="E119"/>
      <c r="F119"/>
      <c r="G119" s="1"/>
      <c r="H119" s="9"/>
      <c r="I119" s="13" t="s">
        <v>36</v>
      </c>
      <c r="J119"/>
      <c r="K119"/>
      <c r="L119"/>
      <c r="M119"/>
      <c r="N119"/>
      <c r="O119"/>
      <c r="P119"/>
      <c r="Q119"/>
      <c r="R119"/>
      <c r="S119">
        <f t="shared" si="52"/>
        <v>0</v>
      </c>
      <c r="T119"/>
      <c r="U119"/>
      <c r="V119"/>
      <c r="W119"/>
      <c r="X119">
        <f t="shared" si="45"/>
        <v>0</v>
      </c>
      <c r="Y119" t="e">
        <f t="shared" si="46"/>
        <v>#DIV/0!</v>
      </c>
      <c r="Z119"/>
      <c r="AA119"/>
      <c r="AB119">
        <v>2022</v>
      </c>
      <c r="AC119" s="26">
        <v>425600</v>
      </c>
      <c r="AD119"/>
      <c r="AE119"/>
      <c r="AF119"/>
      <c r="AG119"/>
      <c r="AH119"/>
      <c r="AI119"/>
      <c r="AJ119" t="e">
        <f t="shared" si="47"/>
        <v>#DIV/0!</v>
      </c>
      <c r="AK119"/>
      <c r="AL119"/>
      <c r="AM119"/>
      <c r="AN119" t="s">
        <v>36</v>
      </c>
      <c r="AO119" s="26">
        <v>6871</v>
      </c>
      <c r="AP119" s="26">
        <v>6871</v>
      </c>
    </row>
    <row r="120" s="3" customFormat="1" hidden="1" spans="1:42">
      <c r="A120" s="1"/>
      <c r="B120" t="s">
        <v>325</v>
      </c>
      <c r="C120" t="s">
        <v>326</v>
      </c>
      <c r="D120" t="s">
        <v>322</v>
      </c>
      <c r="E120"/>
      <c r="F120"/>
      <c r="G120" s="1"/>
      <c r="H120" s="9"/>
      <c r="I120" s="13" t="s">
        <v>36</v>
      </c>
      <c r="J120"/>
      <c r="K120"/>
      <c r="L120"/>
      <c r="M120"/>
      <c r="N120"/>
      <c r="O120"/>
      <c r="P120"/>
      <c r="Q120"/>
      <c r="R120"/>
      <c r="S120">
        <f t="shared" si="52"/>
        <v>0</v>
      </c>
      <c r="T120"/>
      <c r="U120"/>
      <c r="V120"/>
      <c r="W120"/>
      <c r="X120">
        <f t="shared" si="45"/>
        <v>0</v>
      </c>
      <c r="Y120" t="e">
        <f t="shared" si="46"/>
        <v>#DIV/0!</v>
      </c>
      <c r="Z120"/>
      <c r="AA120"/>
      <c r="AB120">
        <v>2022</v>
      </c>
      <c r="AC120" s="26">
        <v>425600</v>
      </c>
      <c r="AD120"/>
      <c r="AE120"/>
      <c r="AF120"/>
      <c r="AG120"/>
      <c r="AH120"/>
      <c r="AI120"/>
      <c r="AJ120" t="e">
        <f t="shared" si="47"/>
        <v>#DIV/0!</v>
      </c>
      <c r="AK120"/>
      <c r="AL120"/>
      <c r="AM120"/>
      <c r="AN120" t="s">
        <v>36</v>
      </c>
      <c r="AO120" s="26">
        <v>21382</v>
      </c>
      <c r="AP120" s="26">
        <v>21382</v>
      </c>
    </row>
    <row r="121" s="3" customFormat="1" hidden="1" spans="1:42">
      <c r="A121" s="1"/>
      <c r="B121" s="7" t="s">
        <v>327</v>
      </c>
      <c r="C121" s="7" t="s">
        <v>327</v>
      </c>
      <c r="D121" s="3" t="s">
        <v>328</v>
      </c>
      <c r="F121" s="12">
        <v>0.003</v>
      </c>
      <c r="G121" s="1"/>
      <c r="H121" s="9"/>
      <c r="I121" s="13" t="s">
        <v>36</v>
      </c>
      <c r="J121"/>
      <c r="K121"/>
      <c r="L121"/>
      <c r="M121"/>
      <c r="P121"/>
      <c r="Q121"/>
      <c r="R121"/>
      <c r="S121">
        <f t="shared" si="52"/>
        <v>0</v>
      </c>
      <c r="T121"/>
      <c r="U121"/>
      <c r="V121"/>
      <c r="W121"/>
      <c r="X121">
        <f t="shared" si="45"/>
        <v>0</v>
      </c>
      <c r="Y121" t="e">
        <f t="shared" si="46"/>
        <v>#DIV/0!</v>
      </c>
      <c r="Z121"/>
      <c r="AA121">
        <v>0.003</v>
      </c>
      <c r="AB121">
        <v>2022</v>
      </c>
      <c r="AC121" s="26">
        <v>425600</v>
      </c>
      <c r="AD121" s="3" t="s">
        <v>36</v>
      </c>
      <c r="AE121" s="3" t="s">
        <v>329</v>
      </c>
      <c r="AF121"/>
      <c r="AG121"/>
      <c r="AH121"/>
      <c r="AI121"/>
      <c r="AJ121" t="e">
        <f t="shared" si="47"/>
        <v>#DIV/0!</v>
      </c>
      <c r="AK121"/>
      <c r="AL121"/>
      <c r="AM121"/>
      <c r="AN121" t="s">
        <v>36</v>
      </c>
      <c r="AO121" s="26">
        <v>22344</v>
      </c>
      <c r="AP121" s="26">
        <v>22344</v>
      </c>
    </row>
    <row r="122" s="3" customFormat="1" hidden="1" spans="1:42">
      <c r="A122" s="1"/>
      <c r="B122" t="s">
        <v>330</v>
      </c>
      <c r="C122" t="s">
        <v>331</v>
      </c>
      <c r="D122" s="8" t="s">
        <v>332</v>
      </c>
      <c r="E122"/>
      <c r="F122"/>
      <c r="G122" s="1"/>
      <c r="H122" s="9"/>
      <c r="I122" s="13" t="s">
        <v>36</v>
      </c>
      <c r="J122"/>
      <c r="K122"/>
      <c r="L122"/>
      <c r="M122"/>
      <c r="N122" s="9"/>
      <c r="O122" s="13" t="s">
        <v>53</v>
      </c>
      <c r="P122"/>
      <c r="Q122"/>
      <c r="R122"/>
      <c r="S122">
        <f t="shared" si="52"/>
        <v>0</v>
      </c>
      <c r="T122"/>
      <c r="U122"/>
      <c r="V122"/>
      <c r="W122"/>
      <c r="X122">
        <f t="shared" si="45"/>
        <v>0</v>
      </c>
      <c r="Y122" t="e">
        <f t="shared" si="46"/>
        <v>#DIV/0!</v>
      </c>
      <c r="Z122"/>
      <c r="AA122"/>
      <c r="AB122">
        <v>2022</v>
      </c>
      <c r="AC122" s="26">
        <v>425600</v>
      </c>
      <c r="AD122"/>
      <c r="AE122"/>
      <c r="AF122"/>
      <c r="AG122"/>
      <c r="AH122"/>
      <c r="AI122"/>
      <c r="AJ122" t="e">
        <f t="shared" si="47"/>
        <v>#DIV/0!</v>
      </c>
      <c r="AK122"/>
      <c r="AL122"/>
      <c r="AM122"/>
      <c r="AN122" t="s">
        <v>36</v>
      </c>
      <c r="AO122" t="e">
        <f>AJ122*AK122</f>
        <v>#DIV/0!</v>
      </c>
      <c r="AP122">
        <f t="shared" ref="AP122:AP128" si="55">AK122*AL122</f>
        <v>0</v>
      </c>
    </row>
    <row r="123" s="3" customFormat="1" hidden="1" spans="1:42">
      <c r="A123" s="1"/>
      <c r="B123" t="s">
        <v>333</v>
      </c>
      <c r="C123" t="s">
        <v>334</v>
      </c>
      <c r="D123" t="s">
        <v>335</v>
      </c>
      <c r="E123"/>
      <c r="F123"/>
      <c r="G123" s="1"/>
      <c r="H123" s="9"/>
      <c r="I123" s="13" t="s">
        <v>36</v>
      </c>
      <c r="J123"/>
      <c r="K123"/>
      <c r="L123"/>
      <c r="M123"/>
      <c r="N123"/>
      <c r="O123"/>
      <c r="P123"/>
      <c r="Q123"/>
      <c r="R123"/>
      <c r="S123">
        <f t="shared" si="52"/>
        <v>0</v>
      </c>
      <c r="T123"/>
      <c r="U123"/>
      <c r="V123"/>
      <c r="W123"/>
      <c r="X123">
        <f t="shared" si="45"/>
        <v>0</v>
      </c>
      <c r="Y123" t="e">
        <f t="shared" si="46"/>
        <v>#DIV/0!</v>
      </c>
      <c r="Z123"/>
      <c r="AA123"/>
      <c r="AB123">
        <v>2022</v>
      </c>
      <c r="AC123" s="26">
        <v>425600</v>
      </c>
      <c r="AD123"/>
      <c r="AE123"/>
      <c r="AF123"/>
      <c r="AG123"/>
      <c r="AH123"/>
      <c r="AI123"/>
      <c r="AJ123" t="e">
        <f t="shared" si="47"/>
        <v>#DIV/0!</v>
      </c>
      <c r="AK123"/>
      <c r="AL123"/>
      <c r="AM123"/>
      <c r="AN123" t="s">
        <v>36</v>
      </c>
      <c r="AO123">
        <v>3005</v>
      </c>
      <c r="AP123">
        <v>3005</v>
      </c>
    </row>
    <row r="124" s="2" customFormat="1" hidden="1" spans="1:42">
      <c r="A124" s="1"/>
      <c r="B124" t="s">
        <v>336</v>
      </c>
      <c r="C124" t="s">
        <v>337</v>
      </c>
      <c r="D124" t="s">
        <v>335</v>
      </c>
      <c r="E124"/>
      <c r="F124"/>
      <c r="G124" s="1"/>
      <c r="H124" s="9"/>
      <c r="I124" s="13" t="s">
        <v>36</v>
      </c>
      <c r="J124"/>
      <c r="K124"/>
      <c r="L124"/>
      <c r="M124"/>
      <c r="N124"/>
      <c r="O124"/>
      <c r="P124"/>
      <c r="Q124"/>
      <c r="R124"/>
      <c r="S124">
        <f t="shared" si="52"/>
        <v>0</v>
      </c>
      <c r="T124"/>
      <c r="U124"/>
      <c r="V124"/>
      <c r="W124"/>
      <c r="X124">
        <f t="shared" si="45"/>
        <v>0</v>
      </c>
      <c r="Y124" t="e">
        <f t="shared" si="46"/>
        <v>#DIV/0!</v>
      </c>
      <c r="Z124"/>
      <c r="AA124"/>
      <c r="AB124">
        <v>2022</v>
      </c>
      <c r="AC124" s="26">
        <v>425600</v>
      </c>
      <c r="AD124"/>
      <c r="AE124"/>
      <c r="AF124"/>
      <c r="AG124"/>
      <c r="AH124"/>
      <c r="AI124"/>
      <c r="AJ124" t="e">
        <f t="shared" si="47"/>
        <v>#DIV/0!</v>
      </c>
      <c r="AK124"/>
      <c r="AL124"/>
      <c r="AM124"/>
      <c r="AN124" t="s">
        <v>36</v>
      </c>
      <c r="AO124">
        <v>2868</v>
      </c>
      <c r="AP124">
        <v>2868</v>
      </c>
    </row>
    <row r="125" s="3" customFormat="1" hidden="1" spans="1:42">
      <c r="A125" s="1"/>
      <c r="B125" t="s">
        <v>338</v>
      </c>
      <c r="C125" t="s">
        <v>339</v>
      </c>
      <c r="D125" s="8" t="s">
        <v>340</v>
      </c>
      <c r="E125"/>
      <c r="F125"/>
      <c r="G125" s="1"/>
      <c r="H125" s="9"/>
      <c r="I125" s="13" t="s">
        <v>36</v>
      </c>
      <c r="J125"/>
      <c r="K125"/>
      <c r="L125"/>
      <c r="M125"/>
      <c r="N125"/>
      <c r="O125"/>
      <c r="P125"/>
      <c r="Q125"/>
      <c r="R125"/>
      <c r="S125">
        <f t="shared" si="52"/>
        <v>0</v>
      </c>
      <c r="T125"/>
      <c r="U125"/>
      <c r="V125"/>
      <c r="W125"/>
      <c r="X125">
        <f t="shared" si="45"/>
        <v>0</v>
      </c>
      <c r="Y125" t="e">
        <f t="shared" si="46"/>
        <v>#DIV/0!</v>
      </c>
      <c r="Z125"/>
      <c r="AA125"/>
      <c r="AB125">
        <v>2022</v>
      </c>
      <c r="AC125" s="26">
        <v>425600</v>
      </c>
      <c r="AD125"/>
      <c r="AE125"/>
      <c r="AF125"/>
      <c r="AG125"/>
      <c r="AH125"/>
      <c r="AI125"/>
      <c r="AJ125" t="e">
        <f t="shared" si="47"/>
        <v>#DIV/0!</v>
      </c>
      <c r="AK125"/>
      <c r="AL125"/>
      <c r="AM125"/>
      <c r="AN125" t="s">
        <v>36</v>
      </c>
      <c r="AO125" t="e">
        <f>AJ125*AK125</f>
        <v>#DIV/0!</v>
      </c>
      <c r="AP125">
        <f t="shared" si="55"/>
        <v>0</v>
      </c>
    </row>
    <row r="126" s="3" customFormat="1" hidden="1" spans="1:42">
      <c r="A126" s="1"/>
      <c r="B126" t="s">
        <v>341</v>
      </c>
      <c r="C126" t="s">
        <v>342</v>
      </c>
      <c r="D126" t="s">
        <v>343</v>
      </c>
      <c r="E126"/>
      <c r="F126"/>
      <c r="G126" s="1"/>
      <c r="H126" s="9"/>
      <c r="I126" s="13" t="s">
        <v>36</v>
      </c>
      <c r="J126"/>
      <c r="K126"/>
      <c r="L126"/>
      <c r="M126"/>
      <c r="N126"/>
      <c r="O126"/>
      <c r="P126"/>
      <c r="Q126"/>
      <c r="R126"/>
      <c r="S126">
        <f t="shared" si="52"/>
        <v>0</v>
      </c>
      <c r="T126"/>
      <c r="U126"/>
      <c r="V126"/>
      <c r="W126"/>
      <c r="X126">
        <f t="shared" si="45"/>
        <v>0</v>
      </c>
      <c r="Y126" t="e">
        <f t="shared" si="46"/>
        <v>#DIV/0!</v>
      </c>
      <c r="Z126"/>
      <c r="AA126"/>
      <c r="AB126">
        <v>2022</v>
      </c>
      <c r="AC126" s="26">
        <v>425600</v>
      </c>
      <c r="AD126"/>
      <c r="AE126"/>
      <c r="AF126"/>
      <c r="AG126"/>
      <c r="AH126"/>
      <c r="AI126"/>
      <c r="AJ126" t="e">
        <f t="shared" si="47"/>
        <v>#DIV/0!</v>
      </c>
      <c r="AK126"/>
      <c r="AL126"/>
      <c r="AM126"/>
      <c r="AN126" t="s">
        <v>36</v>
      </c>
      <c r="AO126" t="e">
        <f>AJ126*AK126</f>
        <v>#DIV/0!</v>
      </c>
      <c r="AP126">
        <f t="shared" si="55"/>
        <v>0</v>
      </c>
    </row>
    <row r="127" hidden="1" spans="1:42">
      <c r="A127" s="1"/>
      <c r="B127" t="s">
        <v>344</v>
      </c>
      <c r="C127" t="s">
        <v>345</v>
      </c>
      <c r="D127" t="s">
        <v>343</v>
      </c>
      <c r="G127" s="1"/>
      <c r="H127" s="9"/>
      <c r="I127" s="13" t="s">
        <v>36</v>
      </c>
      <c r="S127">
        <f t="shared" si="52"/>
        <v>0</v>
      </c>
      <c r="X127">
        <f t="shared" si="45"/>
        <v>0</v>
      </c>
      <c r="Y127" t="e">
        <f t="shared" si="46"/>
        <v>#DIV/0!</v>
      </c>
      <c r="AB127">
        <v>2022</v>
      </c>
      <c r="AC127" s="26">
        <v>425600</v>
      </c>
      <c r="AJ127" t="e">
        <f t="shared" si="47"/>
        <v>#DIV/0!</v>
      </c>
      <c r="AN127" t="s">
        <v>36</v>
      </c>
      <c r="AO127" t="e">
        <f>AJ127*AK127</f>
        <v>#DIV/0!</v>
      </c>
      <c r="AP127">
        <f t="shared" si="55"/>
        <v>0</v>
      </c>
    </row>
    <row r="128" hidden="1" spans="2:42">
      <c r="B128" t="s">
        <v>346</v>
      </c>
      <c r="C128" t="s">
        <v>347</v>
      </c>
      <c r="D128" t="s">
        <v>346</v>
      </c>
      <c r="H128" s="9"/>
      <c r="I128" s="13" t="s">
        <v>36</v>
      </c>
      <c r="S128">
        <f t="shared" si="52"/>
        <v>0</v>
      </c>
      <c r="X128">
        <f t="shared" si="45"/>
        <v>0</v>
      </c>
      <c r="Y128" t="e">
        <f t="shared" si="46"/>
        <v>#DIV/0!</v>
      </c>
      <c r="AB128">
        <v>2022</v>
      </c>
      <c r="AC128" s="26">
        <v>425600</v>
      </c>
      <c r="AD128" t="s">
        <v>36</v>
      </c>
      <c r="AE128" t="s">
        <v>348</v>
      </c>
      <c r="AJ128" t="e">
        <f t="shared" si="47"/>
        <v>#DIV/0!</v>
      </c>
      <c r="AN128" t="s">
        <v>36</v>
      </c>
      <c r="AO128" t="e">
        <f>AJ128*AK128</f>
        <v>#DIV/0!</v>
      </c>
      <c r="AP128">
        <f t="shared" si="55"/>
        <v>0</v>
      </c>
    </row>
    <row r="129" hidden="1" spans="1:42">
      <c r="A129" s="3"/>
      <c r="B129" s="7" t="s">
        <v>349</v>
      </c>
      <c r="C129" s="7" t="s">
        <v>349</v>
      </c>
      <c r="D129" s="3"/>
      <c r="E129" s="3"/>
      <c r="F129" s="3"/>
      <c r="G129" s="3"/>
      <c r="H129" s="9"/>
      <c r="I129" s="13" t="s">
        <v>36</v>
      </c>
      <c r="N129" s="3"/>
      <c r="O129" s="3"/>
      <c r="S129">
        <f t="shared" si="52"/>
        <v>0</v>
      </c>
      <c r="X129">
        <f t="shared" si="45"/>
        <v>0</v>
      </c>
      <c r="Y129" t="e">
        <f t="shared" si="46"/>
        <v>#DIV/0!</v>
      </c>
      <c r="AB129">
        <v>2022</v>
      </c>
      <c r="AC129" s="26">
        <v>425600</v>
      </c>
      <c r="AD129" s="3"/>
      <c r="AE129" s="3"/>
      <c r="AJ129" t="e">
        <f t="shared" si="47"/>
        <v>#DIV/0!</v>
      </c>
      <c r="AN129" t="s">
        <v>36</v>
      </c>
      <c r="AO129" s="26">
        <v>2868</v>
      </c>
      <c r="AP129" s="26">
        <v>2868</v>
      </c>
    </row>
    <row r="130" hidden="1" spans="1:42">
      <c r="A130" s="3"/>
      <c r="B130" s="7" t="s">
        <v>350</v>
      </c>
      <c r="C130" s="7" t="s">
        <v>350</v>
      </c>
      <c r="D130" s="3"/>
      <c r="E130" s="3"/>
      <c r="F130" s="3"/>
      <c r="G130" s="3"/>
      <c r="H130" s="9"/>
      <c r="I130" s="13" t="s">
        <v>36</v>
      </c>
      <c r="N130" s="3"/>
      <c r="O130" s="3" t="s">
        <v>36</v>
      </c>
      <c r="P130" t="s">
        <v>351</v>
      </c>
      <c r="S130" t="e">
        <f t="shared" si="52"/>
        <v>#VALUE!</v>
      </c>
      <c r="X130">
        <f t="shared" si="45"/>
        <v>0</v>
      </c>
      <c r="Y130" t="e">
        <f t="shared" si="46"/>
        <v>#VALUE!</v>
      </c>
      <c r="AB130">
        <v>2022</v>
      </c>
      <c r="AC130" s="26">
        <v>425600</v>
      </c>
      <c r="AD130" s="3"/>
      <c r="AE130" s="3"/>
      <c r="AJ130" t="e">
        <f t="shared" si="47"/>
        <v>#VALUE!</v>
      </c>
      <c r="AN130" t="s">
        <v>36</v>
      </c>
      <c r="AO130" t="e">
        <f t="shared" ref="AO130:AO143" si="56">AJ130*AK130</f>
        <v>#VALUE!</v>
      </c>
      <c r="AP130">
        <f t="shared" ref="AP130:AP143" si="57">AK130*AL130</f>
        <v>0</v>
      </c>
    </row>
    <row r="131" hidden="1" spans="1:42">
      <c r="A131" s="3"/>
      <c r="B131" s="7" t="s">
        <v>352</v>
      </c>
      <c r="C131" s="7" t="s">
        <v>352</v>
      </c>
      <c r="D131" s="3"/>
      <c r="E131" s="3"/>
      <c r="F131" s="3"/>
      <c r="G131" s="3"/>
      <c r="H131" s="9"/>
      <c r="I131" s="13" t="s">
        <v>36</v>
      </c>
      <c r="N131" s="3"/>
      <c r="O131" s="3"/>
      <c r="S131">
        <f t="shared" si="52"/>
        <v>0</v>
      </c>
      <c r="X131">
        <f t="shared" si="45"/>
        <v>0</v>
      </c>
      <c r="Y131" t="e">
        <f t="shared" si="46"/>
        <v>#DIV/0!</v>
      </c>
      <c r="AB131">
        <v>2022</v>
      </c>
      <c r="AC131" s="26">
        <v>425600</v>
      </c>
      <c r="AD131" s="3"/>
      <c r="AE131" s="3"/>
      <c r="AJ131" t="e">
        <f t="shared" si="47"/>
        <v>#DIV/0!</v>
      </c>
      <c r="AN131" t="s">
        <v>36</v>
      </c>
      <c r="AO131" t="e">
        <f t="shared" si="56"/>
        <v>#DIV/0!</v>
      </c>
      <c r="AP131">
        <f t="shared" si="57"/>
        <v>0</v>
      </c>
    </row>
    <row r="132" hidden="1" spans="1:42">
      <c r="A132" s="3"/>
      <c r="B132" s="7" t="s">
        <v>353</v>
      </c>
      <c r="C132" s="7" t="s">
        <v>353</v>
      </c>
      <c r="D132" s="3"/>
      <c r="E132" s="3"/>
      <c r="F132" s="3"/>
      <c r="G132" s="3"/>
      <c r="H132" s="9"/>
      <c r="I132" s="13" t="s">
        <v>36</v>
      </c>
      <c r="N132" s="3"/>
      <c r="O132" s="3"/>
      <c r="S132">
        <f t="shared" si="52"/>
        <v>0</v>
      </c>
      <c r="X132">
        <f t="shared" si="45"/>
        <v>0</v>
      </c>
      <c r="Y132" t="e">
        <f t="shared" si="46"/>
        <v>#DIV/0!</v>
      </c>
      <c r="AB132">
        <v>2022</v>
      </c>
      <c r="AC132" s="26">
        <v>425600</v>
      </c>
      <c r="AD132" s="3"/>
      <c r="AE132" s="3"/>
      <c r="AJ132" t="e">
        <f t="shared" si="47"/>
        <v>#DIV/0!</v>
      </c>
      <c r="AN132" t="s">
        <v>36</v>
      </c>
      <c r="AO132" t="e">
        <f t="shared" si="56"/>
        <v>#DIV/0!</v>
      </c>
      <c r="AP132">
        <f t="shared" si="57"/>
        <v>0</v>
      </c>
    </row>
    <row r="133" hidden="1" spans="1:42">
      <c r="A133" s="3"/>
      <c r="B133" s="7" t="s">
        <v>354</v>
      </c>
      <c r="C133" s="7" t="s">
        <v>354</v>
      </c>
      <c r="D133" s="3"/>
      <c r="E133" s="3"/>
      <c r="F133" s="3"/>
      <c r="G133" s="3"/>
      <c r="H133" s="9"/>
      <c r="I133" s="13" t="s">
        <v>36</v>
      </c>
      <c r="N133" s="3"/>
      <c r="O133" s="3"/>
      <c r="S133">
        <f t="shared" si="52"/>
        <v>0</v>
      </c>
      <c r="X133">
        <f t="shared" si="45"/>
        <v>0</v>
      </c>
      <c r="Y133" t="e">
        <f t="shared" si="46"/>
        <v>#DIV/0!</v>
      </c>
      <c r="AB133">
        <v>2022</v>
      </c>
      <c r="AC133" s="26">
        <v>425600</v>
      </c>
      <c r="AD133" s="3"/>
      <c r="AE133" s="3"/>
      <c r="AJ133" t="e">
        <f t="shared" si="47"/>
        <v>#DIV/0!</v>
      </c>
      <c r="AN133" t="s">
        <v>36</v>
      </c>
      <c r="AO133" t="e">
        <f t="shared" si="56"/>
        <v>#DIV/0!</v>
      </c>
      <c r="AP133">
        <f t="shared" si="57"/>
        <v>0</v>
      </c>
    </row>
    <row r="134" hidden="1" spans="1:42">
      <c r="A134" s="3"/>
      <c r="B134" s="7" t="s">
        <v>355</v>
      </c>
      <c r="C134" s="7" t="s">
        <v>355</v>
      </c>
      <c r="D134" s="3" t="s">
        <v>356</v>
      </c>
      <c r="E134" s="3"/>
      <c r="F134" s="3"/>
      <c r="G134" s="3"/>
      <c r="H134" s="9"/>
      <c r="I134" s="13" t="s">
        <v>36</v>
      </c>
      <c r="N134" s="3"/>
      <c r="O134" s="3"/>
      <c r="S134">
        <f t="shared" si="52"/>
        <v>0</v>
      </c>
      <c r="X134">
        <f t="shared" si="45"/>
        <v>0</v>
      </c>
      <c r="Y134" t="e">
        <f t="shared" si="46"/>
        <v>#DIV/0!</v>
      </c>
      <c r="AA134" s="23" t="s">
        <v>357</v>
      </c>
      <c r="AB134">
        <v>2022</v>
      </c>
      <c r="AC134" s="26">
        <v>425600</v>
      </c>
      <c r="AD134" s="3"/>
      <c r="AE134" s="3"/>
      <c r="AJ134" t="e">
        <f t="shared" si="47"/>
        <v>#DIV/0!</v>
      </c>
      <c r="AN134" t="s">
        <v>36</v>
      </c>
      <c r="AO134" t="e">
        <f t="shared" si="56"/>
        <v>#DIV/0!</v>
      </c>
      <c r="AP134">
        <f t="shared" si="57"/>
        <v>0</v>
      </c>
    </row>
    <row r="135" hidden="1" spans="1:42">
      <c r="A135" s="3"/>
      <c r="B135" s="7" t="s">
        <v>358</v>
      </c>
      <c r="C135" s="7" t="s">
        <v>358</v>
      </c>
      <c r="D135" s="3"/>
      <c r="E135" s="3"/>
      <c r="F135" s="3"/>
      <c r="G135" s="3"/>
      <c r="H135" s="9"/>
      <c r="I135" s="13" t="s">
        <v>36</v>
      </c>
      <c r="N135" s="3"/>
      <c r="O135" s="3"/>
      <c r="S135">
        <f t="shared" si="52"/>
        <v>0</v>
      </c>
      <c r="X135">
        <f t="shared" si="45"/>
        <v>0</v>
      </c>
      <c r="Y135" t="e">
        <f t="shared" si="46"/>
        <v>#DIV/0!</v>
      </c>
      <c r="AB135">
        <v>2022</v>
      </c>
      <c r="AC135" s="26">
        <v>425600</v>
      </c>
      <c r="AD135" s="3"/>
      <c r="AE135" s="3"/>
      <c r="AJ135" t="e">
        <f t="shared" si="47"/>
        <v>#DIV/0!</v>
      </c>
      <c r="AN135" t="s">
        <v>36</v>
      </c>
      <c r="AO135" t="e">
        <f t="shared" si="56"/>
        <v>#DIV/0!</v>
      </c>
      <c r="AP135">
        <f t="shared" si="57"/>
        <v>0</v>
      </c>
    </row>
    <row r="136" hidden="1" spans="1:42">
      <c r="A136" s="3"/>
      <c r="B136" s="7" t="s">
        <v>359</v>
      </c>
      <c r="C136" s="7" t="s">
        <v>359</v>
      </c>
      <c r="D136" s="3"/>
      <c r="E136" s="3"/>
      <c r="F136" s="3"/>
      <c r="G136" s="3"/>
      <c r="H136" s="9"/>
      <c r="I136" s="13" t="s">
        <v>36</v>
      </c>
      <c r="N136" s="3"/>
      <c r="O136" s="3"/>
      <c r="S136">
        <f t="shared" si="52"/>
        <v>0</v>
      </c>
      <c r="X136">
        <f t="shared" si="45"/>
        <v>0</v>
      </c>
      <c r="Y136" t="e">
        <f t="shared" si="46"/>
        <v>#DIV/0!</v>
      </c>
      <c r="AB136">
        <v>2022</v>
      </c>
      <c r="AC136" s="26">
        <v>425600</v>
      </c>
      <c r="AD136" s="3"/>
      <c r="AE136" s="3"/>
      <c r="AJ136" t="e">
        <f t="shared" si="47"/>
        <v>#DIV/0!</v>
      </c>
      <c r="AN136" t="s">
        <v>36</v>
      </c>
      <c r="AO136" t="e">
        <f t="shared" si="56"/>
        <v>#DIV/0!</v>
      </c>
      <c r="AP136">
        <f t="shared" si="57"/>
        <v>0</v>
      </c>
    </row>
    <row r="137" hidden="1" spans="1:42">
      <c r="A137" s="3"/>
      <c r="B137" s="7" t="s">
        <v>360</v>
      </c>
      <c r="C137" s="7" t="s">
        <v>360</v>
      </c>
      <c r="D137" s="3"/>
      <c r="E137" s="3"/>
      <c r="F137" s="3"/>
      <c r="G137" s="3"/>
      <c r="H137" s="9"/>
      <c r="I137" s="13" t="s">
        <v>36</v>
      </c>
      <c r="N137" s="3"/>
      <c r="O137" s="3"/>
      <c r="S137">
        <f t="shared" si="52"/>
        <v>0</v>
      </c>
      <c r="X137">
        <f t="shared" si="45"/>
        <v>0</v>
      </c>
      <c r="Y137" t="e">
        <f t="shared" si="46"/>
        <v>#DIV/0!</v>
      </c>
      <c r="AB137">
        <v>2022</v>
      </c>
      <c r="AC137" s="26">
        <v>425600</v>
      </c>
      <c r="AD137" s="3"/>
      <c r="AE137" s="3"/>
      <c r="AJ137" t="e">
        <f t="shared" si="47"/>
        <v>#DIV/0!</v>
      </c>
      <c r="AN137" t="s">
        <v>36</v>
      </c>
      <c r="AO137" t="e">
        <f t="shared" si="56"/>
        <v>#DIV/0!</v>
      </c>
      <c r="AP137">
        <f t="shared" si="57"/>
        <v>0</v>
      </c>
    </row>
    <row r="138" hidden="1" spans="1:42">
      <c r="A138" s="3"/>
      <c r="B138" s="7" t="s">
        <v>361</v>
      </c>
      <c r="C138" s="7" t="s">
        <v>361</v>
      </c>
      <c r="D138" s="3"/>
      <c r="E138" s="3"/>
      <c r="F138" s="3"/>
      <c r="G138" s="3"/>
      <c r="H138" s="9"/>
      <c r="I138" s="13" t="s">
        <v>36</v>
      </c>
      <c r="N138" s="3"/>
      <c r="O138" s="3"/>
      <c r="S138">
        <f t="shared" si="52"/>
        <v>0</v>
      </c>
      <c r="X138">
        <f t="shared" si="45"/>
        <v>0</v>
      </c>
      <c r="Y138" t="e">
        <f t="shared" si="46"/>
        <v>#DIV/0!</v>
      </c>
      <c r="AB138">
        <v>2022</v>
      </c>
      <c r="AC138" s="26">
        <v>425600</v>
      </c>
      <c r="AD138" s="3"/>
      <c r="AE138" s="3"/>
      <c r="AJ138" t="e">
        <f t="shared" si="47"/>
        <v>#DIV/0!</v>
      </c>
      <c r="AN138" t="s">
        <v>36</v>
      </c>
      <c r="AO138" t="e">
        <f t="shared" si="56"/>
        <v>#DIV/0!</v>
      </c>
      <c r="AP138">
        <f t="shared" si="57"/>
        <v>0</v>
      </c>
    </row>
    <row r="139" hidden="1" spans="1:42">
      <c r="A139" s="3"/>
      <c r="B139" s="7" t="s">
        <v>362</v>
      </c>
      <c r="C139" s="7" t="s">
        <v>362</v>
      </c>
      <c r="D139" s="3"/>
      <c r="E139" s="3"/>
      <c r="F139" s="3"/>
      <c r="G139" s="3"/>
      <c r="H139" s="9"/>
      <c r="I139" s="13" t="s">
        <v>36</v>
      </c>
      <c r="N139" s="3"/>
      <c r="O139" s="3"/>
      <c r="S139">
        <f t="shared" si="52"/>
        <v>0</v>
      </c>
      <c r="X139">
        <f t="shared" si="45"/>
        <v>0</v>
      </c>
      <c r="Y139" t="e">
        <f t="shared" si="46"/>
        <v>#DIV/0!</v>
      </c>
      <c r="AB139">
        <v>2022</v>
      </c>
      <c r="AC139" s="26">
        <v>425600</v>
      </c>
      <c r="AD139" s="3"/>
      <c r="AE139" s="3"/>
      <c r="AJ139" t="e">
        <f t="shared" si="47"/>
        <v>#DIV/0!</v>
      </c>
      <c r="AN139" t="s">
        <v>36</v>
      </c>
      <c r="AO139" t="e">
        <f t="shared" si="56"/>
        <v>#DIV/0!</v>
      </c>
      <c r="AP139">
        <f t="shared" si="57"/>
        <v>0</v>
      </c>
    </row>
    <row r="140" hidden="1" spans="1:42">
      <c r="A140" s="3"/>
      <c r="B140" s="7" t="s">
        <v>363</v>
      </c>
      <c r="C140" s="7" t="s">
        <v>363</v>
      </c>
      <c r="D140" s="3"/>
      <c r="E140" s="3"/>
      <c r="F140" s="3"/>
      <c r="G140" s="3"/>
      <c r="H140" s="9"/>
      <c r="I140" s="13" t="s">
        <v>36</v>
      </c>
      <c r="N140" s="3"/>
      <c r="O140" s="3"/>
      <c r="S140">
        <f t="shared" si="52"/>
        <v>0</v>
      </c>
      <c r="X140">
        <f t="shared" si="45"/>
        <v>0</v>
      </c>
      <c r="Y140" t="e">
        <f t="shared" si="46"/>
        <v>#DIV/0!</v>
      </c>
      <c r="AB140">
        <v>2022</v>
      </c>
      <c r="AC140" s="26">
        <v>425600</v>
      </c>
      <c r="AD140" s="3"/>
      <c r="AE140" s="3"/>
      <c r="AJ140" t="e">
        <f t="shared" si="47"/>
        <v>#DIV/0!</v>
      </c>
      <c r="AN140" t="s">
        <v>36</v>
      </c>
      <c r="AO140" t="e">
        <f t="shared" si="56"/>
        <v>#DIV/0!</v>
      </c>
      <c r="AP140">
        <f t="shared" si="57"/>
        <v>0</v>
      </c>
    </row>
    <row r="141" hidden="1" spans="1:42">
      <c r="A141" s="3"/>
      <c r="B141" s="7" t="s">
        <v>364</v>
      </c>
      <c r="C141" s="7" t="s">
        <v>364</v>
      </c>
      <c r="D141" s="3"/>
      <c r="E141" s="3"/>
      <c r="F141" s="3"/>
      <c r="G141" s="3"/>
      <c r="H141" s="9"/>
      <c r="I141" s="13" t="s">
        <v>36</v>
      </c>
      <c r="N141" s="3"/>
      <c r="O141" s="3"/>
      <c r="S141">
        <f t="shared" si="52"/>
        <v>0</v>
      </c>
      <c r="X141">
        <f t="shared" si="45"/>
        <v>0</v>
      </c>
      <c r="Y141" t="e">
        <f t="shared" si="46"/>
        <v>#DIV/0!</v>
      </c>
      <c r="AB141">
        <v>2022</v>
      </c>
      <c r="AC141" s="26">
        <v>425600</v>
      </c>
      <c r="AD141" s="3"/>
      <c r="AE141" s="3"/>
      <c r="AJ141" t="e">
        <f t="shared" si="47"/>
        <v>#DIV/0!</v>
      </c>
      <c r="AN141" t="s">
        <v>36</v>
      </c>
      <c r="AO141" t="e">
        <f t="shared" si="56"/>
        <v>#DIV/0!</v>
      </c>
      <c r="AP141">
        <f t="shared" si="57"/>
        <v>0</v>
      </c>
    </row>
    <row r="142" hidden="1" spans="1:42">
      <c r="A142" s="3"/>
      <c r="B142" s="7" t="s">
        <v>365</v>
      </c>
      <c r="C142" s="7" t="s">
        <v>365</v>
      </c>
      <c r="D142" s="3"/>
      <c r="E142" s="3"/>
      <c r="F142" s="3"/>
      <c r="G142" s="3"/>
      <c r="H142" s="9"/>
      <c r="I142" s="13" t="s">
        <v>36</v>
      </c>
      <c r="N142" s="3"/>
      <c r="O142" s="3"/>
      <c r="S142">
        <f t="shared" si="52"/>
        <v>0</v>
      </c>
      <c r="X142">
        <f t="shared" si="45"/>
        <v>0</v>
      </c>
      <c r="Y142" t="e">
        <f t="shared" si="46"/>
        <v>#DIV/0!</v>
      </c>
      <c r="AB142">
        <v>2022</v>
      </c>
      <c r="AC142" s="26">
        <v>425600</v>
      </c>
      <c r="AD142" s="3"/>
      <c r="AE142" s="3"/>
      <c r="AJ142" t="e">
        <f t="shared" si="47"/>
        <v>#DIV/0!</v>
      </c>
      <c r="AN142" t="s">
        <v>36</v>
      </c>
      <c r="AO142" t="e">
        <f t="shared" si="56"/>
        <v>#DIV/0!</v>
      </c>
      <c r="AP142">
        <f t="shared" si="57"/>
        <v>0</v>
      </c>
    </row>
    <row r="143" hidden="1" spans="1:42">
      <c r="A143" s="3"/>
      <c r="B143" s="7" t="s">
        <v>366</v>
      </c>
      <c r="C143" s="7" t="s">
        <v>366</v>
      </c>
      <c r="D143" s="3"/>
      <c r="E143" s="3"/>
      <c r="F143" s="3"/>
      <c r="G143" s="3"/>
      <c r="H143" s="9"/>
      <c r="I143" s="13" t="s">
        <v>36</v>
      </c>
      <c r="N143" s="3"/>
      <c r="O143" s="3"/>
      <c r="S143">
        <f t="shared" si="52"/>
        <v>0</v>
      </c>
      <c r="X143">
        <f t="shared" ref="X143:X174" si="58">V143-W143</f>
        <v>0</v>
      </c>
      <c r="Y143" t="e">
        <f t="shared" ref="Y143:Y174" si="59">P143/X143</f>
        <v>#DIV/0!</v>
      </c>
      <c r="AB143">
        <v>2022</v>
      </c>
      <c r="AC143" s="26">
        <v>425600</v>
      </c>
      <c r="AD143" s="3"/>
      <c r="AE143" s="3"/>
      <c r="AJ143" t="e">
        <f t="shared" ref="AJ143:AJ174" si="60">Y143*0.1+Z143*0.05+AA143*0.25+AB143*0.15+AC143*0.1+AE143*0.25+AH143*0.1</f>
        <v>#DIV/0!</v>
      </c>
      <c r="AN143" t="s">
        <v>36</v>
      </c>
      <c r="AO143" t="e">
        <f t="shared" si="56"/>
        <v>#DIV/0!</v>
      </c>
      <c r="AP143">
        <f t="shared" si="57"/>
        <v>0</v>
      </c>
    </row>
    <row r="144" hidden="1" spans="1:42">
      <c r="A144" s="3"/>
      <c r="B144" s="7" t="s">
        <v>367</v>
      </c>
      <c r="C144" s="7" t="s">
        <v>367</v>
      </c>
      <c r="D144" s="3"/>
      <c r="E144" s="3"/>
      <c r="F144" s="3"/>
      <c r="G144" s="3"/>
      <c r="H144" s="9"/>
      <c r="I144" s="13" t="s">
        <v>36</v>
      </c>
      <c r="N144" s="3"/>
      <c r="O144" s="3"/>
      <c r="S144">
        <f t="shared" si="52"/>
        <v>0</v>
      </c>
      <c r="X144">
        <f t="shared" si="58"/>
        <v>0</v>
      </c>
      <c r="Y144" t="e">
        <f t="shared" si="59"/>
        <v>#DIV/0!</v>
      </c>
      <c r="AB144">
        <v>2022</v>
      </c>
      <c r="AC144" s="26">
        <v>425600</v>
      </c>
      <c r="AD144" s="3"/>
      <c r="AE144" s="3"/>
      <c r="AJ144" t="e">
        <f t="shared" si="60"/>
        <v>#DIV/0!</v>
      </c>
      <c r="AN144" t="s">
        <v>36</v>
      </c>
      <c r="AO144" s="26">
        <v>2411</v>
      </c>
      <c r="AP144" s="26">
        <v>2411</v>
      </c>
    </row>
    <row r="145" hidden="1" spans="1:42">
      <c r="A145" s="3"/>
      <c r="B145" s="7" t="s">
        <v>368</v>
      </c>
      <c r="C145" s="7" t="s">
        <v>368</v>
      </c>
      <c r="D145" s="3"/>
      <c r="E145" s="3"/>
      <c r="F145" s="3"/>
      <c r="G145" s="3"/>
      <c r="H145" s="9"/>
      <c r="I145" s="13" t="s">
        <v>36</v>
      </c>
      <c r="N145" s="3"/>
      <c r="O145" s="3"/>
      <c r="S145">
        <f t="shared" si="52"/>
        <v>0</v>
      </c>
      <c r="X145">
        <f t="shared" si="58"/>
        <v>0</v>
      </c>
      <c r="Y145" t="e">
        <f t="shared" si="59"/>
        <v>#DIV/0!</v>
      </c>
      <c r="AB145">
        <v>2022</v>
      </c>
      <c r="AC145" s="26">
        <v>425600</v>
      </c>
      <c r="AD145" s="3"/>
      <c r="AE145" s="3"/>
      <c r="AJ145" t="e">
        <f t="shared" si="60"/>
        <v>#DIV/0!</v>
      </c>
      <c r="AN145" t="s">
        <v>36</v>
      </c>
      <c r="AO145" t="e">
        <f>AJ145*AK145</f>
        <v>#DIV/0!</v>
      </c>
      <c r="AP145">
        <f t="shared" ref="AP145:AP154" si="61">AK145*AL145</f>
        <v>0</v>
      </c>
    </row>
    <row r="146" hidden="1" spans="1:42">
      <c r="A146" s="3"/>
      <c r="B146" s="7" t="s">
        <v>369</v>
      </c>
      <c r="C146" s="7" t="s">
        <v>369</v>
      </c>
      <c r="D146" s="3"/>
      <c r="E146" s="3"/>
      <c r="F146" s="3"/>
      <c r="G146" s="3"/>
      <c r="H146" s="9"/>
      <c r="I146" s="13" t="s">
        <v>36</v>
      </c>
      <c r="N146" s="3"/>
      <c r="O146" s="3"/>
      <c r="S146">
        <f t="shared" si="52"/>
        <v>0</v>
      </c>
      <c r="X146">
        <f t="shared" si="58"/>
        <v>0</v>
      </c>
      <c r="Y146" t="e">
        <f t="shared" si="59"/>
        <v>#DIV/0!</v>
      </c>
      <c r="AB146">
        <v>2022</v>
      </c>
      <c r="AC146" s="26">
        <v>425600</v>
      </c>
      <c r="AD146" s="3"/>
      <c r="AE146" s="3"/>
      <c r="AJ146" t="e">
        <f t="shared" si="60"/>
        <v>#DIV/0!</v>
      </c>
      <c r="AN146" t="s">
        <v>36</v>
      </c>
      <c r="AO146" s="26">
        <v>17893</v>
      </c>
      <c r="AP146" s="26">
        <v>17893</v>
      </c>
    </row>
    <row r="147" hidden="1" spans="1:42">
      <c r="A147" s="3"/>
      <c r="B147" s="7" t="s">
        <v>370</v>
      </c>
      <c r="C147" s="7" t="s">
        <v>370</v>
      </c>
      <c r="D147" s="3"/>
      <c r="E147" s="3"/>
      <c r="F147" s="3"/>
      <c r="G147" s="3"/>
      <c r="H147" s="9"/>
      <c r="I147" s="13" t="s">
        <v>36</v>
      </c>
      <c r="N147" s="3"/>
      <c r="O147" s="3"/>
      <c r="S147">
        <f t="shared" si="52"/>
        <v>0</v>
      </c>
      <c r="X147">
        <f t="shared" si="58"/>
        <v>0</v>
      </c>
      <c r="Y147" t="e">
        <f t="shared" si="59"/>
        <v>#DIV/0!</v>
      </c>
      <c r="AB147">
        <v>2022</v>
      </c>
      <c r="AC147" s="26">
        <v>425600</v>
      </c>
      <c r="AD147" s="3"/>
      <c r="AE147" s="3"/>
      <c r="AJ147" t="e">
        <f t="shared" si="60"/>
        <v>#DIV/0!</v>
      </c>
      <c r="AN147" t="s">
        <v>36</v>
      </c>
      <c r="AO147" t="e">
        <f t="shared" ref="AO147:AO154" si="62">AJ147*AK147</f>
        <v>#DIV/0!</v>
      </c>
      <c r="AP147">
        <f t="shared" si="61"/>
        <v>0</v>
      </c>
    </row>
    <row r="148" hidden="1" spans="1:42">
      <c r="A148" s="3"/>
      <c r="B148" s="7" t="s">
        <v>371</v>
      </c>
      <c r="C148" s="7" t="s">
        <v>371</v>
      </c>
      <c r="D148" s="3"/>
      <c r="E148" s="3"/>
      <c r="F148" s="3"/>
      <c r="G148" s="3"/>
      <c r="H148" s="9"/>
      <c r="I148" s="13" t="s">
        <v>36</v>
      </c>
      <c r="N148" s="3"/>
      <c r="O148" s="3"/>
      <c r="S148">
        <f t="shared" si="52"/>
        <v>0</v>
      </c>
      <c r="X148">
        <f t="shared" si="58"/>
        <v>0</v>
      </c>
      <c r="Y148" t="e">
        <f t="shared" si="59"/>
        <v>#DIV/0!</v>
      </c>
      <c r="AB148">
        <v>2022</v>
      </c>
      <c r="AC148" s="26">
        <v>425600</v>
      </c>
      <c r="AD148" s="3"/>
      <c r="AE148" s="3"/>
      <c r="AJ148" t="e">
        <f t="shared" si="60"/>
        <v>#DIV/0!</v>
      </c>
      <c r="AN148" t="s">
        <v>36</v>
      </c>
      <c r="AO148" t="e">
        <f t="shared" si="62"/>
        <v>#DIV/0!</v>
      </c>
      <c r="AP148">
        <f t="shared" si="61"/>
        <v>0</v>
      </c>
    </row>
    <row r="149" hidden="1" spans="1:42">
      <c r="A149" s="3"/>
      <c r="B149" s="7" t="s">
        <v>372</v>
      </c>
      <c r="C149" s="7" t="s">
        <v>372</v>
      </c>
      <c r="D149" s="3"/>
      <c r="E149" s="3"/>
      <c r="F149" s="3"/>
      <c r="G149" s="3"/>
      <c r="H149" s="9"/>
      <c r="I149" s="13" t="s">
        <v>36</v>
      </c>
      <c r="N149" s="3"/>
      <c r="O149" s="3"/>
      <c r="S149">
        <f t="shared" si="52"/>
        <v>0</v>
      </c>
      <c r="X149">
        <f t="shared" si="58"/>
        <v>0</v>
      </c>
      <c r="Y149" t="e">
        <f t="shared" si="59"/>
        <v>#DIV/0!</v>
      </c>
      <c r="AB149">
        <v>2022</v>
      </c>
      <c r="AC149" s="26">
        <v>425600</v>
      </c>
      <c r="AD149" s="3"/>
      <c r="AE149" s="3"/>
      <c r="AJ149" t="e">
        <f t="shared" si="60"/>
        <v>#DIV/0!</v>
      </c>
      <c r="AN149" t="s">
        <v>36</v>
      </c>
      <c r="AO149" t="e">
        <f t="shared" si="62"/>
        <v>#DIV/0!</v>
      </c>
      <c r="AP149">
        <f t="shared" si="61"/>
        <v>0</v>
      </c>
    </row>
    <row r="150" hidden="1" spans="1:42">
      <c r="A150" s="3"/>
      <c r="B150" s="7" t="s">
        <v>373</v>
      </c>
      <c r="C150" s="7" t="s">
        <v>373</v>
      </c>
      <c r="D150" s="3"/>
      <c r="E150" s="3"/>
      <c r="F150" s="3"/>
      <c r="G150" s="3"/>
      <c r="H150" s="9"/>
      <c r="I150" s="13" t="s">
        <v>36</v>
      </c>
      <c r="N150" s="3"/>
      <c r="O150" s="3"/>
      <c r="S150">
        <f t="shared" si="52"/>
        <v>0</v>
      </c>
      <c r="X150">
        <f t="shared" si="58"/>
        <v>0</v>
      </c>
      <c r="Y150" t="e">
        <f t="shared" si="59"/>
        <v>#DIV/0!</v>
      </c>
      <c r="AB150">
        <v>2022</v>
      </c>
      <c r="AC150" s="26">
        <v>425600</v>
      </c>
      <c r="AD150" s="3"/>
      <c r="AE150" s="3"/>
      <c r="AJ150" t="e">
        <f t="shared" si="60"/>
        <v>#DIV/0!</v>
      </c>
      <c r="AN150" t="s">
        <v>36</v>
      </c>
      <c r="AO150" t="e">
        <f t="shared" si="62"/>
        <v>#DIV/0!</v>
      </c>
      <c r="AP150">
        <f t="shared" si="61"/>
        <v>0</v>
      </c>
    </row>
    <row r="151" hidden="1" spans="1:42">
      <c r="A151" s="3"/>
      <c r="B151" s="7" t="s">
        <v>374</v>
      </c>
      <c r="C151" s="7" t="s">
        <v>374</v>
      </c>
      <c r="D151" s="3"/>
      <c r="E151" s="3"/>
      <c r="F151" s="3"/>
      <c r="G151" s="3"/>
      <c r="H151" s="9"/>
      <c r="I151" s="13" t="s">
        <v>36</v>
      </c>
      <c r="N151" s="3"/>
      <c r="O151" s="3"/>
      <c r="S151">
        <f t="shared" si="52"/>
        <v>0</v>
      </c>
      <c r="X151">
        <f t="shared" si="58"/>
        <v>0</v>
      </c>
      <c r="Y151" t="e">
        <f t="shared" si="59"/>
        <v>#DIV/0!</v>
      </c>
      <c r="AB151">
        <v>2022</v>
      </c>
      <c r="AC151" s="26">
        <v>425600</v>
      </c>
      <c r="AD151" s="3"/>
      <c r="AE151" s="3"/>
      <c r="AJ151" t="e">
        <f t="shared" si="60"/>
        <v>#DIV/0!</v>
      </c>
      <c r="AN151" t="s">
        <v>36</v>
      </c>
      <c r="AO151" t="e">
        <f t="shared" si="62"/>
        <v>#DIV/0!</v>
      </c>
      <c r="AP151">
        <f t="shared" si="61"/>
        <v>0</v>
      </c>
    </row>
    <row r="152" hidden="1" spans="1:42">
      <c r="A152" s="3"/>
      <c r="B152" s="7" t="s">
        <v>375</v>
      </c>
      <c r="C152" s="7" t="s">
        <v>375</v>
      </c>
      <c r="D152" s="3"/>
      <c r="E152" s="3"/>
      <c r="F152" s="3"/>
      <c r="G152" s="3"/>
      <c r="H152" s="9"/>
      <c r="I152" s="13" t="s">
        <v>36</v>
      </c>
      <c r="N152" s="3"/>
      <c r="O152" s="3"/>
      <c r="S152">
        <f t="shared" si="52"/>
        <v>0</v>
      </c>
      <c r="X152">
        <f t="shared" si="58"/>
        <v>0</v>
      </c>
      <c r="Y152" t="e">
        <f t="shared" si="59"/>
        <v>#DIV/0!</v>
      </c>
      <c r="AB152">
        <v>2022</v>
      </c>
      <c r="AC152" s="26">
        <v>425600</v>
      </c>
      <c r="AD152" s="3"/>
      <c r="AE152" s="3"/>
      <c r="AJ152" t="e">
        <f t="shared" si="60"/>
        <v>#DIV/0!</v>
      </c>
      <c r="AN152" t="s">
        <v>36</v>
      </c>
      <c r="AO152" t="e">
        <f t="shared" si="62"/>
        <v>#DIV/0!</v>
      </c>
      <c r="AP152">
        <f t="shared" si="61"/>
        <v>0</v>
      </c>
    </row>
    <row r="153" hidden="1" spans="1:42">
      <c r="A153" s="3"/>
      <c r="B153" s="7" t="s">
        <v>376</v>
      </c>
      <c r="C153" s="7" t="s">
        <v>376</v>
      </c>
      <c r="D153" s="3"/>
      <c r="E153" s="3"/>
      <c r="F153" s="3"/>
      <c r="G153" s="3"/>
      <c r="H153" s="9"/>
      <c r="I153" s="13" t="s">
        <v>36</v>
      </c>
      <c r="N153" s="3"/>
      <c r="O153" s="3"/>
      <c r="S153">
        <f t="shared" si="52"/>
        <v>0</v>
      </c>
      <c r="X153">
        <f t="shared" si="58"/>
        <v>0</v>
      </c>
      <c r="Y153" t="e">
        <f t="shared" si="59"/>
        <v>#DIV/0!</v>
      </c>
      <c r="AB153">
        <v>2022</v>
      </c>
      <c r="AC153" s="26">
        <v>425600</v>
      </c>
      <c r="AD153" s="3"/>
      <c r="AE153" s="3"/>
      <c r="AJ153" t="e">
        <f t="shared" si="60"/>
        <v>#DIV/0!</v>
      </c>
      <c r="AN153" t="s">
        <v>36</v>
      </c>
      <c r="AO153" t="e">
        <f t="shared" si="62"/>
        <v>#DIV/0!</v>
      </c>
      <c r="AP153">
        <f t="shared" si="61"/>
        <v>0</v>
      </c>
    </row>
    <row r="154" hidden="1" spans="1:42">
      <c r="A154" s="3"/>
      <c r="B154" s="7" t="s">
        <v>377</v>
      </c>
      <c r="C154" s="7" t="s">
        <v>377</v>
      </c>
      <c r="D154" s="3"/>
      <c r="E154" s="3"/>
      <c r="F154" s="3"/>
      <c r="G154" s="3"/>
      <c r="H154" s="9"/>
      <c r="I154" s="13" t="s">
        <v>36</v>
      </c>
      <c r="N154" s="3"/>
      <c r="O154" s="3"/>
      <c r="S154">
        <f t="shared" si="52"/>
        <v>0</v>
      </c>
      <c r="X154">
        <f t="shared" si="58"/>
        <v>0</v>
      </c>
      <c r="Y154" t="e">
        <f t="shared" si="59"/>
        <v>#DIV/0!</v>
      </c>
      <c r="AB154">
        <v>2022</v>
      </c>
      <c r="AC154" s="26">
        <v>425600</v>
      </c>
      <c r="AD154" s="3"/>
      <c r="AE154" s="3"/>
      <c r="AJ154" t="e">
        <f t="shared" si="60"/>
        <v>#DIV/0!</v>
      </c>
      <c r="AN154" t="s">
        <v>36</v>
      </c>
      <c r="AO154" t="e">
        <f t="shared" si="62"/>
        <v>#DIV/0!</v>
      </c>
      <c r="AP154">
        <f t="shared" si="61"/>
        <v>0</v>
      </c>
    </row>
    <row r="155" hidden="1" spans="1:42">
      <c r="A155" s="3"/>
      <c r="B155" s="7" t="s">
        <v>378</v>
      </c>
      <c r="C155" s="7" t="s">
        <v>378</v>
      </c>
      <c r="D155" s="3" t="s">
        <v>379</v>
      </c>
      <c r="G155" s="3"/>
      <c r="H155" s="9"/>
      <c r="I155" s="13" t="s">
        <v>36</v>
      </c>
      <c r="N155" s="3"/>
      <c r="O155" s="3" t="s">
        <v>36</v>
      </c>
      <c r="P155" t="s">
        <v>380</v>
      </c>
      <c r="S155" t="e">
        <f t="shared" si="52"/>
        <v>#VALUE!</v>
      </c>
      <c r="X155">
        <f t="shared" si="58"/>
        <v>0</v>
      </c>
      <c r="Y155" t="e">
        <f t="shared" si="59"/>
        <v>#VALUE!</v>
      </c>
      <c r="AA155" t="s">
        <v>381</v>
      </c>
      <c r="AB155">
        <v>2022</v>
      </c>
      <c r="AC155" s="26">
        <v>425600</v>
      </c>
      <c r="AD155" s="3"/>
      <c r="AE155" s="3"/>
      <c r="AJ155" t="e">
        <f t="shared" si="60"/>
        <v>#VALUE!</v>
      </c>
      <c r="AN155" t="s">
        <v>36</v>
      </c>
      <c r="AO155">
        <v>17893</v>
      </c>
      <c r="AP155">
        <v>17893</v>
      </c>
    </row>
    <row r="156" hidden="1" spans="1:42">
      <c r="A156" s="3"/>
      <c r="B156" s="7" t="s">
        <v>382</v>
      </c>
      <c r="C156" s="7" t="s">
        <v>382</v>
      </c>
      <c r="D156" s="3"/>
      <c r="E156" s="3"/>
      <c r="F156" s="3"/>
      <c r="G156" s="3"/>
      <c r="H156" s="9"/>
      <c r="I156" s="13" t="s">
        <v>36</v>
      </c>
      <c r="N156" s="3"/>
      <c r="O156" s="3"/>
      <c r="S156">
        <f t="shared" si="52"/>
        <v>0</v>
      </c>
      <c r="X156">
        <f t="shared" si="58"/>
        <v>0</v>
      </c>
      <c r="Y156" t="e">
        <f t="shared" si="59"/>
        <v>#DIV/0!</v>
      </c>
      <c r="AB156">
        <v>2022</v>
      </c>
      <c r="AC156" s="26">
        <v>425600</v>
      </c>
      <c r="AD156" s="3"/>
      <c r="AE156" s="3"/>
      <c r="AJ156" t="e">
        <f t="shared" si="60"/>
        <v>#DIV/0!</v>
      </c>
      <c r="AN156" t="s">
        <v>36</v>
      </c>
      <c r="AO156">
        <v>3607</v>
      </c>
      <c r="AP156">
        <v>3607</v>
      </c>
    </row>
    <row r="157" hidden="1" spans="1:42">
      <c r="A157" s="3"/>
      <c r="B157" s="7" t="s">
        <v>383</v>
      </c>
      <c r="C157" s="7" t="s">
        <v>383</v>
      </c>
      <c r="D157" s="3"/>
      <c r="E157" s="3"/>
      <c r="F157" s="3"/>
      <c r="G157" s="3"/>
      <c r="H157" s="9"/>
      <c r="I157" s="13" t="s">
        <v>36</v>
      </c>
      <c r="N157" s="3"/>
      <c r="O157" s="3"/>
      <c r="S157">
        <f t="shared" si="52"/>
        <v>0</v>
      </c>
      <c r="X157">
        <f t="shared" si="58"/>
        <v>0</v>
      </c>
      <c r="Y157" t="e">
        <f t="shared" si="59"/>
        <v>#DIV/0!</v>
      </c>
      <c r="AB157">
        <v>2022</v>
      </c>
      <c r="AC157" s="26">
        <v>425600</v>
      </c>
      <c r="AD157" s="3"/>
      <c r="AE157" s="3"/>
      <c r="AJ157" t="e">
        <f t="shared" si="60"/>
        <v>#DIV/0!</v>
      </c>
      <c r="AN157" t="s">
        <v>36</v>
      </c>
      <c r="AO157" t="e">
        <f>AJ157*AK157</f>
        <v>#DIV/0!</v>
      </c>
      <c r="AP157">
        <f t="shared" ref="AP157:AP160" si="63">AK157*AL157</f>
        <v>0</v>
      </c>
    </row>
    <row r="158" hidden="1" spans="1:42">
      <c r="A158" s="3"/>
      <c r="B158" s="7" t="s">
        <v>384</v>
      </c>
      <c r="C158" s="7" t="s">
        <v>384</v>
      </c>
      <c r="D158" s="3"/>
      <c r="E158" s="3"/>
      <c r="F158" s="3"/>
      <c r="G158" s="3"/>
      <c r="H158" s="9"/>
      <c r="I158" s="13" t="s">
        <v>36</v>
      </c>
      <c r="N158" s="3"/>
      <c r="O158" s="3"/>
      <c r="S158">
        <f t="shared" si="52"/>
        <v>0</v>
      </c>
      <c r="X158">
        <f t="shared" si="58"/>
        <v>0</v>
      </c>
      <c r="Y158" t="e">
        <f t="shared" si="59"/>
        <v>#DIV/0!</v>
      </c>
      <c r="AB158">
        <v>2022</v>
      </c>
      <c r="AC158" s="26">
        <v>425600</v>
      </c>
      <c r="AD158" s="3"/>
      <c r="AE158" s="3"/>
      <c r="AJ158" t="e">
        <f t="shared" si="60"/>
        <v>#DIV/0!</v>
      </c>
      <c r="AN158" t="s">
        <v>36</v>
      </c>
      <c r="AO158" t="e">
        <f>AJ158*AK158</f>
        <v>#DIV/0!</v>
      </c>
      <c r="AP158">
        <f t="shared" si="63"/>
        <v>0</v>
      </c>
    </row>
    <row r="159" hidden="1" spans="1:42">
      <c r="A159" s="3"/>
      <c r="B159" s="7" t="s">
        <v>385</v>
      </c>
      <c r="C159" s="7" t="s">
        <v>385</v>
      </c>
      <c r="D159" s="3"/>
      <c r="E159" s="3"/>
      <c r="F159" s="3"/>
      <c r="G159" s="3"/>
      <c r="H159" s="9"/>
      <c r="I159" s="13" t="s">
        <v>36</v>
      </c>
      <c r="N159" s="3"/>
      <c r="O159" s="3"/>
      <c r="S159">
        <f t="shared" si="52"/>
        <v>0</v>
      </c>
      <c r="X159">
        <f t="shared" si="58"/>
        <v>0</v>
      </c>
      <c r="Y159" t="e">
        <f t="shared" si="59"/>
        <v>#DIV/0!</v>
      </c>
      <c r="AB159">
        <v>2022</v>
      </c>
      <c r="AC159" s="26">
        <v>425600</v>
      </c>
      <c r="AD159" s="3"/>
      <c r="AE159" s="3"/>
      <c r="AJ159" t="e">
        <f t="shared" si="60"/>
        <v>#DIV/0!</v>
      </c>
      <c r="AN159" t="s">
        <v>36</v>
      </c>
      <c r="AO159" t="e">
        <f>AJ159*AK159</f>
        <v>#DIV/0!</v>
      </c>
      <c r="AP159">
        <f t="shared" si="63"/>
        <v>0</v>
      </c>
    </row>
    <row r="160" hidden="1" spans="1:42">
      <c r="A160" s="3"/>
      <c r="B160" s="7" t="s">
        <v>386</v>
      </c>
      <c r="C160" s="7" t="s">
        <v>386</v>
      </c>
      <c r="D160" s="3"/>
      <c r="E160" s="3"/>
      <c r="F160" s="3"/>
      <c r="G160" s="3"/>
      <c r="H160" s="9"/>
      <c r="I160" s="13" t="s">
        <v>36</v>
      </c>
      <c r="N160" s="3"/>
      <c r="O160" s="3"/>
      <c r="S160">
        <f t="shared" si="52"/>
        <v>0</v>
      </c>
      <c r="X160">
        <f t="shared" si="58"/>
        <v>0</v>
      </c>
      <c r="Y160" t="e">
        <f t="shared" si="59"/>
        <v>#DIV/0!</v>
      </c>
      <c r="AB160">
        <v>2022</v>
      </c>
      <c r="AC160" s="26">
        <v>425600</v>
      </c>
      <c r="AD160" s="3"/>
      <c r="AE160" s="3"/>
      <c r="AJ160" t="e">
        <f t="shared" si="60"/>
        <v>#DIV/0!</v>
      </c>
      <c r="AN160" t="s">
        <v>36</v>
      </c>
      <c r="AO160" t="e">
        <f>AJ160*AK160</f>
        <v>#DIV/0!</v>
      </c>
      <c r="AP160">
        <f t="shared" si="63"/>
        <v>0</v>
      </c>
    </row>
    <row r="161" hidden="1" spans="1:42">
      <c r="A161" s="3"/>
      <c r="B161" s="7" t="s">
        <v>387</v>
      </c>
      <c r="C161" s="7" t="s">
        <v>387</v>
      </c>
      <c r="D161" s="3"/>
      <c r="E161" s="3"/>
      <c r="F161" s="12">
        <v>0.003</v>
      </c>
      <c r="G161" s="3"/>
      <c r="H161" s="9"/>
      <c r="I161" s="13" t="s">
        <v>36</v>
      </c>
      <c r="N161" s="3"/>
      <c r="O161" s="3"/>
      <c r="S161">
        <f t="shared" si="52"/>
        <v>0</v>
      </c>
      <c r="X161">
        <f t="shared" si="58"/>
        <v>0</v>
      </c>
      <c r="Y161" t="e">
        <f t="shared" si="59"/>
        <v>#DIV/0!</v>
      </c>
      <c r="AA161">
        <v>0.003</v>
      </c>
      <c r="AB161">
        <v>2022</v>
      </c>
      <c r="AC161" s="26">
        <v>425600</v>
      </c>
      <c r="AD161" s="3"/>
      <c r="AE161" s="3"/>
      <c r="AJ161" t="e">
        <f t="shared" si="60"/>
        <v>#DIV/0!</v>
      </c>
      <c r="AN161" t="s">
        <v>36</v>
      </c>
      <c r="AO161" s="26">
        <v>3607</v>
      </c>
      <c r="AP161" s="26">
        <v>3607</v>
      </c>
    </row>
    <row r="162" hidden="1" spans="1:42">
      <c r="A162" s="3"/>
      <c r="B162" s="7" t="s">
        <v>388</v>
      </c>
      <c r="C162" s="7" t="s">
        <v>388</v>
      </c>
      <c r="D162" s="3"/>
      <c r="E162" s="3"/>
      <c r="F162" s="3"/>
      <c r="G162" s="3"/>
      <c r="H162" s="9"/>
      <c r="I162" s="13" t="s">
        <v>36</v>
      </c>
      <c r="N162" s="3"/>
      <c r="O162" s="3"/>
      <c r="S162">
        <f t="shared" si="52"/>
        <v>0</v>
      </c>
      <c r="X162">
        <f t="shared" si="58"/>
        <v>0</v>
      </c>
      <c r="Y162" t="e">
        <f t="shared" si="59"/>
        <v>#DIV/0!</v>
      </c>
      <c r="AB162">
        <v>2022</v>
      </c>
      <c r="AC162" s="26">
        <v>425600</v>
      </c>
      <c r="AD162" s="3"/>
      <c r="AE162" s="3"/>
      <c r="AJ162" t="e">
        <f t="shared" si="60"/>
        <v>#DIV/0!</v>
      </c>
      <c r="AN162" t="s">
        <v>36</v>
      </c>
      <c r="AO162" t="e">
        <f>AJ162*AK162</f>
        <v>#DIV/0!</v>
      </c>
      <c r="AP162">
        <f t="shared" ref="AP162:AP165" si="64">AK162*AL162</f>
        <v>0</v>
      </c>
    </row>
    <row r="163" hidden="1" spans="1:42">
      <c r="A163" s="3"/>
      <c r="B163" s="7" t="s">
        <v>389</v>
      </c>
      <c r="C163" s="7" t="s">
        <v>389</v>
      </c>
      <c r="D163" s="3"/>
      <c r="E163" s="3"/>
      <c r="F163" s="3"/>
      <c r="G163" s="3"/>
      <c r="H163" s="9"/>
      <c r="I163" s="13" t="s">
        <v>36</v>
      </c>
      <c r="N163" s="3"/>
      <c r="O163" s="3"/>
      <c r="S163">
        <f t="shared" ref="S163:S174" si="65">(P163*3+M163*2+J163*1)/6</f>
        <v>0</v>
      </c>
      <c r="X163">
        <f t="shared" si="58"/>
        <v>0</v>
      </c>
      <c r="Y163" t="e">
        <f t="shared" si="59"/>
        <v>#DIV/0!</v>
      </c>
      <c r="AB163">
        <v>2022</v>
      </c>
      <c r="AC163" s="26">
        <v>425600</v>
      </c>
      <c r="AD163" s="3"/>
      <c r="AE163" s="3"/>
      <c r="AJ163" t="e">
        <f t="shared" si="60"/>
        <v>#DIV/0!</v>
      </c>
      <c r="AN163" t="s">
        <v>36</v>
      </c>
      <c r="AO163" s="26">
        <v>2987</v>
      </c>
      <c r="AP163" s="26">
        <v>2987</v>
      </c>
    </row>
    <row r="164" hidden="1" spans="1:42">
      <c r="A164" s="3"/>
      <c r="B164" s="7" t="s">
        <v>390</v>
      </c>
      <c r="C164" s="7" t="s">
        <v>390</v>
      </c>
      <c r="D164" s="3"/>
      <c r="E164" s="3"/>
      <c r="F164" s="3"/>
      <c r="G164" s="3"/>
      <c r="H164" s="9"/>
      <c r="I164" s="13" t="s">
        <v>36</v>
      </c>
      <c r="N164" s="3"/>
      <c r="O164" s="3"/>
      <c r="S164">
        <f t="shared" si="65"/>
        <v>0</v>
      </c>
      <c r="X164">
        <f t="shared" si="58"/>
        <v>0</v>
      </c>
      <c r="Y164" t="e">
        <f t="shared" si="59"/>
        <v>#DIV/0!</v>
      </c>
      <c r="AB164">
        <v>2022</v>
      </c>
      <c r="AC164" s="26">
        <v>425600</v>
      </c>
      <c r="AD164" s="3"/>
      <c r="AE164" s="3"/>
      <c r="AJ164" t="e">
        <f t="shared" si="60"/>
        <v>#DIV/0!</v>
      </c>
      <c r="AN164" t="s">
        <v>36</v>
      </c>
      <c r="AO164" t="e">
        <f>AJ164*AK164</f>
        <v>#DIV/0!</v>
      </c>
      <c r="AP164">
        <f t="shared" si="64"/>
        <v>0</v>
      </c>
    </row>
    <row r="165" hidden="1" spans="1:42">
      <c r="A165" s="3"/>
      <c r="B165" s="7" t="s">
        <v>391</v>
      </c>
      <c r="C165" s="7" t="s">
        <v>391</v>
      </c>
      <c r="D165" s="3"/>
      <c r="E165" s="3"/>
      <c r="F165" s="3"/>
      <c r="G165" s="3"/>
      <c r="H165" s="9"/>
      <c r="I165" s="13" t="s">
        <v>36</v>
      </c>
      <c r="N165" s="3"/>
      <c r="O165" s="3"/>
      <c r="S165">
        <f t="shared" si="65"/>
        <v>0</v>
      </c>
      <c r="X165">
        <f t="shared" si="58"/>
        <v>0</v>
      </c>
      <c r="Y165" t="e">
        <f t="shared" si="59"/>
        <v>#DIV/0!</v>
      </c>
      <c r="AB165">
        <v>2022</v>
      </c>
      <c r="AC165" s="26">
        <v>425600</v>
      </c>
      <c r="AD165" s="3"/>
      <c r="AE165" s="3"/>
      <c r="AJ165" t="e">
        <f t="shared" si="60"/>
        <v>#DIV/0!</v>
      </c>
      <c r="AN165" t="s">
        <v>36</v>
      </c>
      <c r="AO165" t="e">
        <f>AJ165*AK165</f>
        <v>#DIV/0!</v>
      </c>
      <c r="AP165">
        <f t="shared" si="64"/>
        <v>0</v>
      </c>
    </row>
    <row r="166" hidden="1" spans="1:42">
      <c r="A166" s="3"/>
      <c r="B166" s="7" t="s">
        <v>392</v>
      </c>
      <c r="C166" s="7" t="s">
        <v>392</v>
      </c>
      <c r="D166" s="3"/>
      <c r="E166" s="3"/>
      <c r="F166" s="3"/>
      <c r="G166" s="3"/>
      <c r="H166" s="9"/>
      <c r="I166" s="13" t="s">
        <v>36</v>
      </c>
      <c r="N166" s="3"/>
      <c r="O166" s="3"/>
      <c r="S166">
        <f t="shared" si="65"/>
        <v>0</v>
      </c>
      <c r="X166">
        <f t="shared" si="58"/>
        <v>0</v>
      </c>
      <c r="Y166" t="e">
        <f t="shared" si="59"/>
        <v>#DIV/0!</v>
      </c>
      <c r="AB166">
        <v>2022</v>
      </c>
      <c r="AC166" s="26">
        <v>425600</v>
      </c>
      <c r="AD166" s="3"/>
      <c r="AE166" s="3"/>
      <c r="AJ166" t="e">
        <f t="shared" si="60"/>
        <v>#DIV/0!</v>
      </c>
      <c r="AN166" t="s">
        <v>36</v>
      </c>
      <c r="AO166" s="26">
        <v>3938</v>
      </c>
      <c r="AP166" s="26">
        <v>3938</v>
      </c>
    </row>
    <row r="167" hidden="1" spans="1:42">
      <c r="A167" s="3"/>
      <c r="B167" s="7" t="s">
        <v>393</v>
      </c>
      <c r="C167" s="7" t="s">
        <v>393</v>
      </c>
      <c r="D167" s="3"/>
      <c r="E167" s="3"/>
      <c r="F167" s="3"/>
      <c r="G167" s="3"/>
      <c r="H167" s="9"/>
      <c r="I167" s="13" t="s">
        <v>36</v>
      </c>
      <c r="N167" s="3"/>
      <c r="O167" s="3"/>
      <c r="S167">
        <f t="shared" si="65"/>
        <v>0</v>
      </c>
      <c r="X167">
        <f t="shared" si="58"/>
        <v>0</v>
      </c>
      <c r="Y167" t="e">
        <f t="shared" si="59"/>
        <v>#DIV/0!</v>
      </c>
      <c r="AB167">
        <v>2022</v>
      </c>
      <c r="AC167" s="26">
        <v>425600</v>
      </c>
      <c r="AD167" s="3"/>
      <c r="AE167" s="3"/>
      <c r="AJ167" t="e">
        <f t="shared" si="60"/>
        <v>#DIV/0!</v>
      </c>
      <c r="AN167" t="s">
        <v>36</v>
      </c>
      <c r="AO167" s="26">
        <v>15443</v>
      </c>
      <c r="AP167" s="26">
        <v>15443</v>
      </c>
    </row>
    <row r="168" hidden="1" spans="1:42">
      <c r="A168" s="3"/>
      <c r="B168" s="7" t="s">
        <v>394</v>
      </c>
      <c r="C168" s="7" t="s">
        <v>394</v>
      </c>
      <c r="D168" s="3"/>
      <c r="E168" s="3"/>
      <c r="F168" s="12">
        <v>0.004</v>
      </c>
      <c r="G168" s="3"/>
      <c r="H168" s="9"/>
      <c r="I168" s="13" t="s">
        <v>36</v>
      </c>
      <c r="N168" s="3"/>
      <c r="O168" s="3"/>
      <c r="S168">
        <f t="shared" si="65"/>
        <v>0</v>
      </c>
      <c r="X168">
        <f t="shared" si="58"/>
        <v>0</v>
      </c>
      <c r="Y168" t="e">
        <f t="shared" si="59"/>
        <v>#DIV/0!</v>
      </c>
      <c r="AA168" s="31">
        <v>0.0439</v>
      </c>
      <c r="AB168">
        <v>2022</v>
      </c>
      <c r="AC168" s="26">
        <v>425600</v>
      </c>
      <c r="AD168" s="3"/>
      <c r="AE168" s="3"/>
      <c r="AJ168" t="e">
        <f t="shared" si="60"/>
        <v>#DIV/0!</v>
      </c>
      <c r="AN168" t="s">
        <v>36</v>
      </c>
      <c r="AO168" t="e">
        <f>AJ168*AK168</f>
        <v>#DIV/0!</v>
      </c>
      <c r="AP168">
        <f t="shared" ref="AP168:AP174" si="66">AK168*AL168</f>
        <v>0</v>
      </c>
    </row>
    <row r="169" hidden="1" spans="1:42">
      <c r="A169" s="3"/>
      <c r="B169" s="7" t="s">
        <v>395</v>
      </c>
      <c r="C169" s="7" t="s">
        <v>395</v>
      </c>
      <c r="D169" s="3"/>
      <c r="E169" s="3"/>
      <c r="F169" s="3"/>
      <c r="G169" s="3"/>
      <c r="H169" s="9"/>
      <c r="I169" s="13" t="s">
        <v>36</v>
      </c>
      <c r="N169" s="3"/>
      <c r="O169" s="3"/>
      <c r="S169">
        <f t="shared" si="65"/>
        <v>0</v>
      </c>
      <c r="X169">
        <f t="shared" si="58"/>
        <v>0</v>
      </c>
      <c r="Y169" t="e">
        <f t="shared" si="59"/>
        <v>#DIV/0!</v>
      </c>
      <c r="AB169">
        <v>2022</v>
      </c>
      <c r="AC169" s="26">
        <v>425600</v>
      </c>
      <c r="AD169" s="3"/>
      <c r="AE169" s="3"/>
      <c r="AJ169" t="e">
        <f t="shared" si="60"/>
        <v>#DIV/0!</v>
      </c>
      <c r="AN169" t="s">
        <v>36</v>
      </c>
      <c r="AO169" s="26">
        <v>15443</v>
      </c>
      <c r="AP169" s="26">
        <v>15443</v>
      </c>
    </row>
    <row r="170" hidden="1" spans="1:42">
      <c r="A170" s="3"/>
      <c r="B170" s="7" t="s">
        <v>396</v>
      </c>
      <c r="C170" s="7" t="s">
        <v>396</v>
      </c>
      <c r="D170" s="3"/>
      <c r="E170" s="3"/>
      <c r="F170" s="3"/>
      <c r="G170" s="3"/>
      <c r="H170" s="9"/>
      <c r="I170" s="13" t="s">
        <v>36</v>
      </c>
      <c r="N170" s="3"/>
      <c r="O170" s="3"/>
      <c r="S170">
        <f t="shared" si="65"/>
        <v>0</v>
      </c>
      <c r="X170">
        <f t="shared" si="58"/>
        <v>0</v>
      </c>
      <c r="Y170" t="e">
        <f t="shared" si="59"/>
        <v>#DIV/0!</v>
      </c>
      <c r="AB170">
        <v>2022</v>
      </c>
      <c r="AC170" s="26">
        <v>425600</v>
      </c>
      <c r="AD170" s="3"/>
      <c r="AE170" s="3"/>
      <c r="AJ170" t="e">
        <f t="shared" si="60"/>
        <v>#DIV/0!</v>
      </c>
      <c r="AN170" t="s">
        <v>36</v>
      </c>
      <c r="AO170" t="e">
        <f>AJ170*AK170</f>
        <v>#DIV/0!</v>
      </c>
      <c r="AP170">
        <f t="shared" si="66"/>
        <v>0</v>
      </c>
    </row>
    <row r="171" hidden="1" spans="1:42">
      <c r="A171" s="3"/>
      <c r="B171" s="7" t="s">
        <v>397</v>
      </c>
      <c r="C171" s="7" t="s">
        <v>397</v>
      </c>
      <c r="D171" s="3"/>
      <c r="E171" s="3"/>
      <c r="F171" s="3"/>
      <c r="G171" s="3"/>
      <c r="H171" s="9"/>
      <c r="I171" s="13" t="s">
        <v>36</v>
      </c>
      <c r="N171" s="3"/>
      <c r="O171" s="3"/>
      <c r="S171">
        <f t="shared" si="65"/>
        <v>0</v>
      </c>
      <c r="X171">
        <f t="shared" si="58"/>
        <v>0</v>
      </c>
      <c r="Y171" t="e">
        <f t="shared" si="59"/>
        <v>#DIV/0!</v>
      </c>
      <c r="AB171">
        <v>2022</v>
      </c>
      <c r="AC171" s="26">
        <v>425600</v>
      </c>
      <c r="AD171" s="3"/>
      <c r="AE171" s="3"/>
      <c r="AJ171" t="e">
        <f t="shared" si="60"/>
        <v>#DIV/0!</v>
      </c>
      <c r="AN171" t="s">
        <v>36</v>
      </c>
      <c r="AO171" t="e">
        <f>AJ171*AK171</f>
        <v>#DIV/0!</v>
      </c>
      <c r="AP171">
        <f t="shared" si="66"/>
        <v>0</v>
      </c>
    </row>
    <row r="172" hidden="1" spans="1:42">
      <c r="A172" s="3"/>
      <c r="B172" s="7" t="s">
        <v>398</v>
      </c>
      <c r="C172" s="7" t="s">
        <v>398</v>
      </c>
      <c r="D172" s="3"/>
      <c r="E172" s="3"/>
      <c r="F172" s="3"/>
      <c r="G172" s="3"/>
      <c r="H172" s="9"/>
      <c r="I172" s="13" t="s">
        <v>36</v>
      </c>
      <c r="N172" s="3"/>
      <c r="O172" s="3"/>
      <c r="S172">
        <f t="shared" si="65"/>
        <v>0</v>
      </c>
      <c r="X172">
        <f t="shared" si="58"/>
        <v>0</v>
      </c>
      <c r="Y172" t="e">
        <f t="shared" si="59"/>
        <v>#DIV/0!</v>
      </c>
      <c r="AB172">
        <v>2022</v>
      </c>
      <c r="AC172" s="26">
        <v>425600</v>
      </c>
      <c r="AD172" s="3"/>
      <c r="AE172" s="3"/>
      <c r="AJ172" t="e">
        <f t="shared" si="60"/>
        <v>#DIV/0!</v>
      </c>
      <c r="AN172" t="s">
        <v>36</v>
      </c>
      <c r="AO172" t="e">
        <f>AJ172*AK172</f>
        <v>#DIV/0!</v>
      </c>
      <c r="AP172">
        <f t="shared" si="66"/>
        <v>0</v>
      </c>
    </row>
    <row r="173" hidden="1" spans="1:42">
      <c r="A173" s="3"/>
      <c r="B173" s="7" t="s">
        <v>399</v>
      </c>
      <c r="C173" s="7" t="s">
        <v>399</v>
      </c>
      <c r="D173" s="3"/>
      <c r="E173" s="3"/>
      <c r="F173" s="3"/>
      <c r="G173" s="3"/>
      <c r="H173" s="9"/>
      <c r="I173" s="13" t="s">
        <v>36</v>
      </c>
      <c r="N173" s="3"/>
      <c r="O173" s="3"/>
      <c r="S173">
        <f t="shared" si="65"/>
        <v>0</v>
      </c>
      <c r="X173">
        <f t="shared" si="58"/>
        <v>0</v>
      </c>
      <c r="Y173" t="e">
        <f t="shared" si="59"/>
        <v>#DIV/0!</v>
      </c>
      <c r="AB173">
        <v>2022</v>
      </c>
      <c r="AC173" s="26">
        <v>425600</v>
      </c>
      <c r="AD173" s="3"/>
      <c r="AE173" s="3"/>
      <c r="AJ173" t="e">
        <f t="shared" si="60"/>
        <v>#DIV/0!</v>
      </c>
      <c r="AN173" t="s">
        <v>36</v>
      </c>
      <c r="AO173" t="e">
        <f>AJ173*AK173</f>
        <v>#DIV/0!</v>
      </c>
      <c r="AP173">
        <f t="shared" si="66"/>
        <v>0</v>
      </c>
    </row>
    <row r="174" hidden="1" spans="2:42">
      <c r="B174" t="s">
        <v>33</v>
      </c>
      <c r="C174" t="s">
        <v>34</v>
      </c>
      <c r="H174" s="9"/>
      <c r="I174" s="13" t="s">
        <v>36</v>
      </c>
      <c r="N174" s="3"/>
      <c r="O174" s="3"/>
      <c r="S174">
        <f t="shared" si="65"/>
        <v>0</v>
      </c>
      <c r="X174">
        <f t="shared" si="58"/>
        <v>0</v>
      </c>
      <c r="Y174" t="e">
        <f t="shared" si="59"/>
        <v>#DIV/0!</v>
      </c>
      <c r="AB174">
        <v>2022</v>
      </c>
      <c r="AC174" s="26">
        <v>425600</v>
      </c>
      <c r="AD174" s="3"/>
      <c r="AE174" s="3"/>
      <c r="AJ174" t="e">
        <f t="shared" si="60"/>
        <v>#DIV/0!</v>
      </c>
      <c r="AN174" t="s">
        <v>36</v>
      </c>
      <c r="AO174" t="e">
        <f>AJ174*AK174</f>
        <v>#DIV/0!</v>
      </c>
      <c r="AP174">
        <f t="shared" si="66"/>
        <v>0</v>
      </c>
    </row>
    <row r="175" hidden="1" spans="9:42">
      <c r="I175" s="13" t="s">
        <v>36</v>
      </c>
      <c r="AC175" s="26"/>
      <c r="AO175">
        <v>1801.1</v>
      </c>
      <c r="AP175">
        <v>1801.1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2026-09-16T13:59:02Z</dcterms:created>
  <dcterms:modified xsi:type="dcterms:W3CDTF">2026-09-16T13:59:59Z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4ADB4982DCD7C84C5F30AA6AE491A447_42</vt:lpwstr>
  </property>
  <property fmtid="{D5CDD505-2E9C-101B-9397-08002B2CF9AE}" pid="3" name="KSOProductBuildVer">
    <vt:lpwstr>1033-6.14.0.8924</vt:lpwstr>
  </property>
</Properties>
</file>